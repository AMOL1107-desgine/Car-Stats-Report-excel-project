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defaultThemeVersion="124226"/>
  <mc:AlternateContent xmlns:mc="http://schemas.openxmlformats.org/markup-compatibility/2006">
    <mc:Choice Requires="x15">
      <x15ac:absPath xmlns:x15ac="http://schemas.microsoft.com/office/spreadsheetml/2010/11/ac" url="https://d.docs.live.net/b832b69b34dad7f2/"/>
    </mc:Choice>
  </mc:AlternateContent>
  <xr:revisionPtr revIDLastSave="132" documentId="8_{29024304-62B5-4241-9A62-23D303C17D32}" xr6:coauthVersionLast="47" xr6:coauthVersionMax="47" xr10:uidLastSave="{78570A68-475A-4F5C-9CB7-7484ABD4F47E}"/>
  <bookViews>
    <workbookView xWindow="-108" yWindow="-108" windowWidth="23256" windowHeight="12456" tabRatio="813" activeTab="5" xr2:uid="{00000000-000D-0000-FFFF-FFFF00000000}"/>
  </bookViews>
  <sheets>
    <sheet name=" top 10 brands" sheetId="3" r:id="rId1"/>
    <sheet name="milage" sheetId="5" r:id="rId2"/>
    <sheet name="best rated car" sheetId="6" r:id="rId3"/>
    <sheet name="best saftey rating" sheetId="7" r:id="rId4"/>
    <sheet name="best saler brand" sheetId="8" r:id="rId5"/>
    <sheet name="Processed_Data" sheetId="1" r:id="rId6"/>
    <sheet name="CAR STATS" sheetId="4" r:id="rId7"/>
  </sheets>
  <definedNames>
    <definedName name="Slicer_Brand">#N/A</definedName>
    <definedName name="Slicer_Brand1">#N/A</definedName>
    <definedName name="Slicer_Brand2">#N/A</definedName>
    <definedName name="Slicer_Car_Name">#N/A</definedName>
    <definedName name="Slicer_Car_Name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1" l="1"/>
</calcChain>
</file>

<file path=xl/sharedStrings.xml><?xml version="1.0" encoding="utf-8"?>
<sst xmlns="http://schemas.openxmlformats.org/spreadsheetml/2006/main" count="605" uniqueCount="295">
  <si>
    <t>Brand</t>
  </si>
  <si>
    <t>Car Name</t>
  </si>
  <si>
    <t>Avg Mileage</t>
  </si>
  <si>
    <t>Numeric Rating</t>
  </si>
  <si>
    <t>Safety Rating</t>
  </si>
  <si>
    <t>Sales</t>
  </si>
  <si>
    <t>Maruti Suzuki</t>
  </si>
  <si>
    <t>Mahindra</t>
  </si>
  <si>
    <t>Tata</t>
  </si>
  <si>
    <t>Hyundai</t>
  </si>
  <si>
    <t>Toyota</t>
  </si>
  <si>
    <t>Kia</t>
  </si>
  <si>
    <t>BMW</t>
  </si>
  <si>
    <t>Skoda</t>
  </si>
  <si>
    <t>Mercedes-Benz</t>
  </si>
  <si>
    <t>Honda</t>
  </si>
  <si>
    <t>MG</t>
  </si>
  <si>
    <t>Land Rover</t>
  </si>
  <si>
    <t>Renault</t>
  </si>
  <si>
    <t>Citroen</t>
  </si>
  <si>
    <t>Jeep</t>
  </si>
  <si>
    <t>Audi</t>
  </si>
  <si>
    <t>Nissan</t>
  </si>
  <si>
    <t>BYD</t>
  </si>
  <si>
    <t>Volvo</t>
  </si>
  <si>
    <t>Porsche</t>
  </si>
  <si>
    <t>Lexus</t>
  </si>
  <si>
    <t>Lamborghini</t>
  </si>
  <si>
    <t>Jaguar</t>
  </si>
  <si>
    <t>Rolls-Royce</t>
  </si>
  <si>
    <t>MINI</t>
  </si>
  <si>
    <t>Ferrari</t>
  </si>
  <si>
    <t>Force Motors</t>
  </si>
  <si>
    <t>Isuzu</t>
  </si>
  <si>
    <t>Maserati</t>
  </si>
  <si>
    <t>Aston Martin</t>
  </si>
  <si>
    <t>Bentley</t>
  </si>
  <si>
    <t>McLaren</t>
  </si>
  <si>
    <t>Lotus</t>
  </si>
  <si>
    <t>Maruti Brezza</t>
  </si>
  <si>
    <t>Maruti Fronx</t>
  </si>
  <si>
    <t>Maruti Swift</t>
  </si>
  <si>
    <t>Maruti Dzire</t>
  </si>
  <si>
    <t>Maruti Baleno</t>
  </si>
  <si>
    <t>Maruti Grand Vitara</t>
  </si>
  <si>
    <t>Maruti Wagon R</t>
  </si>
  <si>
    <t>Maruti Alto K10</t>
  </si>
  <si>
    <t>Maruti Ertiga</t>
  </si>
  <si>
    <t>Maruti XL6</t>
  </si>
  <si>
    <t>Maruti Celerio</t>
  </si>
  <si>
    <t>Maruti Jimny</t>
  </si>
  <si>
    <t>Maruti Ignis</t>
  </si>
  <si>
    <t>Maruti S-Presso</t>
  </si>
  <si>
    <t>Maruti Ciaz</t>
  </si>
  <si>
    <t>Maruti Eeco</t>
  </si>
  <si>
    <t>Maruti Invicto</t>
  </si>
  <si>
    <t>Maruti Wagon R Flex Fuel</t>
  </si>
  <si>
    <t>Mahindra Scorpio N</t>
  </si>
  <si>
    <t>Mahindra XUV 3XO</t>
  </si>
  <si>
    <t>Mahindra XUV700</t>
  </si>
  <si>
    <t>Mahindra BE 6</t>
  </si>
  <si>
    <t>Mahindra Thar Roxx</t>
  </si>
  <si>
    <t>Mahindra Thar</t>
  </si>
  <si>
    <t>Mahindra XEV 9e</t>
  </si>
  <si>
    <t>Mahindra Scorpio</t>
  </si>
  <si>
    <t>Mahindra Bolero</t>
  </si>
  <si>
    <t>Mahindra Bolero Neo</t>
  </si>
  <si>
    <t>Mahindra Bolero Neo Plus</t>
  </si>
  <si>
    <t>Mahindra XUV400</t>
  </si>
  <si>
    <t>Mahindra Marazzo</t>
  </si>
  <si>
    <t>Tata Harrier EV</t>
  </si>
  <si>
    <t>Tata Altroz</t>
  </si>
  <si>
    <t>Tata Nexon</t>
  </si>
  <si>
    <t>Tata Punch</t>
  </si>
  <si>
    <t>Tata Harrier</t>
  </si>
  <si>
    <t>Tata Tiago</t>
  </si>
  <si>
    <t>Tata Curvv</t>
  </si>
  <si>
    <t>Tata Safari</t>
  </si>
  <si>
    <t>Tata Curvv EV</t>
  </si>
  <si>
    <t>Tata Nexon EV</t>
  </si>
  <si>
    <t>Tata Punch EV</t>
  </si>
  <si>
    <t>Tata Tiago EV</t>
  </si>
  <si>
    <t>Tata Tigor</t>
  </si>
  <si>
    <t>Tata Tigor EV</t>
  </si>
  <si>
    <t>Tata Tiago NRG</t>
  </si>
  <si>
    <t>Tata Harrier EV Stealth</t>
  </si>
  <si>
    <t>Hyundai Creta</t>
  </si>
  <si>
    <t>Hyundai Exter</t>
  </si>
  <si>
    <t>Hyundai Venue</t>
  </si>
  <si>
    <t>Hyundai Grand i10 Nios</t>
  </si>
  <si>
    <t>Hyundai Verna</t>
  </si>
  <si>
    <t>Hyundai i20</t>
  </si>
  <si>
    <t>Hyundai Aura</t>
  </si>
  <si>
    <t>Hyundai Alcazar</t>
  </si>
  <si>
    <t>Hyundai Tucson</t>
  </si>
  <si>
    <t>Hyundai Creta Electric</t>
  </si>
  <si>
    <t>Hyundai i20 N Line</t>
  </si>
  <si>
    <t>Hyundai Creta N Line</t>
  </si>
  <si>
    <t>Hyundai Ioniq 5</t>
  </si>
  <si>
    <t>Hyundai Venue N Line</t>
  </si>
  <si>
    <t>Toyota Urban Cruiser Hyryder</t>
  </si>
  <si>
    <t>Toyota Urban Cruiser Taisor</t>
  </si>
  <si>
    <t>Toyota Glanza</t>
  </si>
  <si>
    <t>Toyota Fortuner</t>
  </si>
  <si>
    <t>Toyota Innova Crysta</t>
  </si>
  <si>
    <t>Toyota Innova Hycross</t>
  </si>
  <si>
    <t>Toyota Vellfire</t>
  </si>
  <si>
    <t>Toyota Hilux</t>
  </si>
  <si>
    <t>Toyota Camry</t>
  </si>
  <si>
    <t>Toyota Fortuner Legender</t>
  </si>
  <si>
    <t>Toyota Rumion</t>
  </si>
  <si>
    <t>Toyota Land Cruiser</t>
  </si>
  <si>
    <t>Kia Seltos</t>
  </si>
  <si>
    <t>Kia Sonet</t>
  </si>
  <si>
    <t>Kia Carens Clavis</t>
  </si>
  <si>
    <t>Kia Carens</t>
  </si>
  <si>
    <t>Kia Syros</t>
  </si>
  <si>
    <t>Kia Carnival</t>
  </si>
  <si>
    <t>Kia EV6</t>
  </si>
  <si>
    <t>Kia EV9</t>
  </si>
  <si>
    <t>BMW 3 Series LWB</t>
  </si>
  <si>
    <t>BMW 5 Series</t>
  </si>
  <si>
    <t>BMW X5</t>
  </si>
  <si>
    <t>BMW M5</t>
  </si>
  <si>
    <t>BMW X1</t>
  </si>
  <si>
    <t>BMW X3</t>
  </si>
  <si>
    <t>BMW M340i</t>
  </si>
  <si>
    <t>BMW X7</t>
  </si>
  <si>
    <t>BMW M4</t>
  </si>
  <si>
    <t>BMW 7 Series</t>
  </si>
  <si>
    <t>BMW 2 Series Gran Coupe</t>
  </si>
  <si>
    <t>BMW Z4</t>
  </si>
  <si>
    <t>BMW M8</t>
  </si>
  <si>
    <t>BMW M2</t>
  </si>
  <si>
    <t>BMW iX1 LWB</t>
  </si>
  <si>
    <t>BMW XM</t>
  </si>
  <si>
    <t>BMW i4</t>
  </si>
  <si>
    <t>BMW i7</t>
  </si>
  <si>
    <t>BMW iX1</t>
  </si>
  <si>
    <t>BMW X4 M40i</t>
  </si>
  <si>
    <t>BMW iX</t>
  </si>
  <si>
    <t>BMW i5</t>
  </si>
  <si>
    <t>Skoda Kylaq</t>
  </si>
  <si>
    <t>Skoda Slavia</t>
  </si>
  <si>
    <t>Skoda Kushaq</t>
  </si>
  <si>
    <t>Skoda Kodiaq</t>
  </si>
  <si>
    <t>Mercedes-Benz A-Class Limousine</t>
  </si>
  <si>
    <t>Mercedes-Benz G-Class</t>
  </si>
  <si>
    <t>Mercedes-Benz GLC</t>
  </si>
  <si>
    <t>Mercedes-Benz GLA</t>
  </si>
  <si>
    <t>Mercedes-Benz C-Class</t>
  </si>
  <si>
    <t>Mercedes-Benz E-Class</t>
  </si>
  <si>
    <t>Mercedes-Benz GLS</t>
  </si>
  <si>
    <t>Mercedes-Benz Maybach S-Class</t>
  </si>
  <si>
    <t>Mercedes-Benz GLE</t>
  </si>
  <si>
    <t>Mercedes-Benz S-Class</t>
  </si>
  <si>
    <t>Mercedes-Benz Maybach GLS</t>
  </si>
  <si>
    <t>Mercedes-Benz AMG GLC43 Coupe</t>
  </si>
  <si>
    <t>Mercedes-Benz EQB</t>
  </si>
  <si>
    <t>Mercedes-Benz CLE cabriolet</t>
  </si>
  <si>
    <t>Mercedes-Benz EQA</t>
  </si>
  <si>
    <t>Mercedes-Benz EQS</t>
  </si>
  <si>
    <t>Mercedes-Benz AMG G-Class</t>
  </si>
  <si>
    <t>Mercedes-Benz G580 with EQ technology</t>
  </si>
  <si>
    <t>Mercedes-Benz Maybach SL 680</t>
  </si>
  <si>
    <t>Mercedes-Benz AMG GLA35</t>
  </si>
  <si>
    <t>Mercedes-Benz AMG C 43</t>
  </si>
  <si>
    <t>Mercedes-Benz EQS SUV</t>
  </si>
  <si>
    <t>Mercedes-Benz AMG SL55 Roadster</t>
  </si>
  <si>
    <t>Mercedes-Benz AMG A45 S</t>
  </si>
  <si>
    <t>Mercedes-Benz AMG GT 63 S E Performance</t>
  </si>
  <si>
    <t>Mercedes-Benz AMG GLE Coupe</t>
  </si>
  <si>
    <t>Mercedes-Benz AMG E53 Cabriolet</t>
  </si>
  <si>
    <t>Mercedes-Benz Maybach EQS SUV</t>
  </si>
  <si>
    <t>Mercedes-Benz EQE SUV</t>
  </si>
  <si>
    <t>Mercedes-Benz AMG S 63 E Performance</t>
  </si>
  <si>
    <t>Mercedes-Benz AMG GT 63 S 4MATIC Plus</t>
  </si>
  <si>
    <t>Mercedes-Benz AMG C 63 S E Performance</t>
  </si>
  <si>
    <t>Mercedes-Benz AMG EQS</t>
  </si>
  <si>
    <t>Honda Elevate</t>
  </si>
  <si>
    <t>Honda City</t>
  </si>
  <si>
    <t>Honda Amaze</t>
  </si>
  <si>
    <t>Honda Amaze 2nd Gen</t>
  </si>
  <si>
    <t>Honda City Hybrid eHEV</t>
  </si>
  <si>
    <t>MG Windsor EV</t>
  </si>
  <si>
    <t>MG Hector</t>
  </si>
  <si>
    <t>MG Comet EV</t>
  </si>
  <si>
    <t>MG ZS EV</t>
  </si>
  <si>
    <t>MG Astor</t>
  </si>
  <si>
    <t>MG Hector Plus</t>
  </si>
  <si>
    <t>MG Gloster</t>
  </si>
  <si>
    <t>Defender</t>
  </si>
  <si>
    <t>Range Rover Velar</t>
  </si>
  <si>
    <t>Range Rover Sport</t>
  </si>
  <si>
    <t>Range Rover</t>
  </si>
  <si>
    <t>Range Rover Evoque</t>
  </si>
  <si>
    <t>Discovery Sport</t>
  </si>
  <si>
    <t>Discovery</t>
  </si>
  <si>
    <t>Renault Triber</t>
  </si>
  <si>
    <t>Renault Kwid</t>
  </si>
  <si>
    <t>Renault Kiger</t>
  </si>
  <si>
    <t>Citroen C3</t>
  </si>
  <si>
    <t>Citroen Basalt</t>
  </si>
  <si>
    <t>Citroen Aircross</t>
  </si>
  <si>
    <t>Citroen eC3</t>
  </si>
  <si>
    <t>Citroen C5 Aircross</t>
  </si>
  <si>
    <t>Jeep Compass</t>
  </si>
  <si>
    <t>Jeep Meridian</t>
  </si>
  <si>
    <t>Jeep Wrangler</t>
  </si>
  <si>
    <t>Jeep Grand Cherokee</t>
  </si>
  <si>
    <t>Audi Q3</t>
  </si>
  <si>
    <t>Audi A4</t>
  </si>
  <si>
    <t>Audi A6</t>
  </si>
  <si>
    <t>Audi Q7</t>
  </si>
  <si>
    <t>Audi Q5</t>
  </si>
  <si>
    <t>Audi S5 Sportback</t>
  </si>
  <si>
    <t>Audi Q8</t>
  </si>
  <si>
    <t>Audi e-tron GT</t>
  </si>
  <si>
    <t>Audi Q3 Sportback</t>
  </si>
  <si>
    <t>Audi RS5</t>
  </si>
  <si>
    <t>Audi RS Q8 Performance</t>
  </si>
  <si>
    <t>Audi A8 L</t>
  </si>
  <si>
    <t>Audi Q8 Sportback e-tron</t>
  </si>
  <si>
    <t>Audi Q8 e-tron</t>
  </si>
  <si>
    <t>Audi e-tron Sportback</t>
  </si>
  <si>
    <t>Audi e-tron</t>
  </si>
  <si>
    <t>Nissan Magnite</t>
  </si>
  <si>
    <t>Nissan X-Trail</t>
  </si>
  <si>
    <t>BYD Atto 3</t>
  </si>
  <si>
    <t>BYD Seal</t>
  </si>
  <si>
    <t>BYD Sealion 7</t>
  </si>
  <si>
    <t>BYD eMax 7</t>
  </si>
  <si>
    <t>Volvo XC60</t>
  </si>
  <si>
    <t>Volvo EX40</t>
  </si>
  <si>
    <t>Volvo XC90</t>
  </si>
  <si>
    <t>Volvo EC40</t>
  </si>
  <si>
    <t>Porsche 911</t>
  </si>
  <si>
    <t>Porsche Cayenne</t>
  </si>
  <si>
    <t>Porsche Macan</t>
  </si>
  <si>
    <t>Porsche Panamera</t>
  </si>
  <si>
    <t>Porsche Taycan</t>
  </si>
  <si>
    <t>Porsche Cayenne Coupe</t>
  </si>
  <si>
    <t>Porsche Macan Turbo EV</t>
  </si>
  <si>
    <t>Lexus ES</t>
  </si>
  <si>
    <t>Lexus LX</t>
  </si>
  <si>
    <t>Lexus NX</t>
  </si>
  <si>
    <t>Lexus LM</t>
  </si>
  <si>
    <t>Lexus RX</t>
  </si>
  <si>
    <t>Lamborghini Urus SE</t>
  </si>
  <si>
    <t>Lamborghini Temerario</t>
  </si>
  <si>
    <t>Lamborghini Revuelto</t>
  </si>
  <si>
    <t>Jaguar F-Pace</t>
  </si>
  <si>
    <t>Rolls-Royce Phantom</t>
  </si>
  <si>
    <t>Rolls-Royce Cullinan</t>
  </si>
  <si>
    <t>Rolls-Royce Spectre</t>
  </si>
  <si>
    <t>MINI Cooper</t>
  </si>
  <si>
    <t>MINI Countryman</t>
  </si>
  <si>
    <t>MINI Cooper SE</t>
  </si>
  <si>
    <t>MINI Countryman Electric</t>
  </si>
  <si>
    <t>Ferrari Purosangue SUV</t>
  </si>
  <si>
    <t>Ferrari 296 GTB</t>
  </si>
  <si>
    <t>Ferrari Roma</t>
  </si>
  <si>
    <t>Ferrari F8 Tributo</t>
  </si>
  <si>
    <t>Ferrari Portofino</t>
  </si>
  <si>
    <t>Ferrari 296 GTS</t>
  </si>
  <si>
    <t>Force Motors Gurkha</t>
  </si>
  <si>
    <t>Force Motors Trax Cruiser</t>
  </si>
  <si>
    <t>Isuzu V-Cross</t>
  </si>
  <si>
    <t>Isuzu MU-X</t>
  </si>
  <si>
    <t>Maserati Ghibli</t>
  </si>
  <si>
    <t>Maserati MC20</t>
  </si>
  <si>
    <t>Maserati Levante</t>
  </si>
  <si>
    <t>Maserati Quattroporte</t>
  </si>
  <si>
    <t>Maserati Grecale</t>
  </si>
  <si>
    <t>Maserati GranTurismo</t>
  </si>
  <si>
    <t>Aston Martin Vanquish</t>
  </si>
  <si>
    <t>Aston Martin DB11</t>
  </si>
  <si>
    <t>Aston Martin Vantage</t>
  </si>
  <si>
    <t>Aston Martin DBX</t>
  </si>
  <si>
    <t>Aston Martin DB12</t>
  </si>
  <si>
    <t>Bentley Bentayga</t>
  </si>
  <si>
    <t>McLaren 750S</t>
  </si>
  <si>
    <t>McLaren 720S</t>
  </si>
  <si>
    <t>McLaren GT</t>
  </si>
  <si>
    <t>Lotus Eletre</t>
  </si>
  <si>
    <t>Lotus Emira</t>
  </si>
  <si>
    <t>Lotus Emeya</t>
  </si>
  <si>
    <t>Row Labels</t>
  </si>
  <si>
    <t>Grand Total</t>
  </si>
  <si>
    <t>Count of Car Name</t>
  </si>
  <si>
    <t>CAR STATS REPORT</t>
  </si>
  <si>
    <t>Sum of Avg Mileage</t>
  </si>
  <si>
    <t>Sum of Numeric Rating</t>
  </si>
  <si>
    <t>Sum of Safety Rating</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</si>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</sst>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i/>
      <sz val="18"/>
      <color theme="9" tint="-0.49998474074526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2" borderId="0" xfId="0" applyFill="1"/>
    <xf numFmtId="0" fontId="2" fillId="3" borderId="0" xfId="0" applyFont="1" applyFill="1" applyAlignment="1">
      <alignment horizontal="center"/>
    </xf>
    <xf numFmtId="0" fontId="1" fillId="4" borderId="1" xfId="0" applyFont="1" applyFill="1" applyBorder="1" applyAlignment="1">
      <alignment horizontal="center" vertical="top"/>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 top 10 brands!PivotTable1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10 Brands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top 10 brands'!$B$1</c:f>
              <c:strCache>
                <c:ptCount val="1"/>
                <c:pt idx="0">
                  <c:v>Total</c:v>
                </c:pt>
              </c:strCache>
            </c:strRef>
          </c:tx>
          <c:spPr>
            <a:pattFill prst="ltUpDiag">
              <a:fgClr>
                <a:schemeClr val="accent1"/>
              </a:fgClr>
              <a:bgClr>
                <a:schemeClr val="lt1"/>
              </a:bgClr>
            </a:pattFill>
            <a:ln>
              <a:noFill/>
            </a:ln>
            <a:effectLst/>
          </c:spPr>
          <c:invertIfNegative val="0"/>
          <c:cat>
            <c:strRef>
              <c:f>' top 10 brands'!$A$2:$A$35</c:f>
              <c:strCache>
                <c:ptCount val="33"/>
                <c:pt idx="0">
                  <c:v>Aston Martin</c:v>
                </c:pt>
                <c:pt idx="1">
                  <c:v>Audi</c:v>
                </c:pt>
                <c:pt idx="2">
                  <c:v>Bentley</c:v>
                </c:pt>
                <c:pt idx="3">
                  <c:v>BMW</c:v>
                </c:pt>
                <c:pt idx="4">
                  <c:v>BYD</c:v>
                </c:pt>
                <c:pt idx="5">
                  <c:v>Citroen</c:v>
                </c:pt>
                <c:pt idx="6">
                  <c:v>Ferrari</c:v>
                </c:pt>
                <c:pt idx="7">
                  <c:v>Force Motors</c:v>
                </c:pt>
                <c:pt idx="8">
                  <c:v>Honda</c:v>
                </c:pt>
                <c:pt idx="9">
                  <c:v>Hyundai</c:v>
                </c:pt>
                <c:pt idx="10">
                  <c:v>Isuzu</c:v>
                </c:pt>
                <c:pt idx="11">
                  <c:v>Jaguar</c:v>
                </c:pt>
                <c:pt idx="12">
                  <c:v>Jeep</c:v>
                </c:pt>
                <c:pt idx="13">
                  <c:v>Kia</c:v>
                </c:pt>
                <c:pt idx="14">
                  <c:v>Lamborghini</c:v>
                </c:pt>
                <c:pt idx="15">
                  <c:v>Land Rover</c:v>
                </c:pt>
                <c:pt idx="16">
                  <c:v>Lexus</c:v>
                </c:pt>
                <c:pt idx="17">
                  <c:v>Lotus</c:v>
                </c:pt>
                <c:pt idx="18">
                  <c:v>Mahindra</c:v>
                </c:pt>
                <c:pt idx="19">
                  <c:v>Maruti Suzuki</c:v>
                </c:pt>
                <c:pt idx="20">
                  <c:v>Maserati</c:v>
                </c:pt>
                <c:pt idx="21">
                  <c:v>McLaren</c:v>
                </c:pt>
                <c:pt idx="22">
                  <c:v>Mercedes-Benz</c:v>
                </c:pt>
                <c:pt idx="23">
                  <c:v>MG</c:v>
                </c:pt>
                <c:pt idx="24">
                  <c:v>MINI</c:v>
                </c:pt>
                <c:pt idx="25">
                  <c:v>Nissan</c:v>
                </c:pt>
                <c:pt idx="26">
                  <c:v>Porsche</c:v>
                </c:pt>
                <c:pt idx="27">
                  <c:v>Renault</c:v>
                </c:pt>
                <c:pt idx="28">
                  <c:v>Rolls-Royce</c:v>
                </c:pt>
                <c:pt idx="29">
                  <c:v>Skoda</c:v>
                </c:pt>
                <c:pt idx="30">
                  <c:v>Tata</c:v>
                </c:pt>
                <c:pt idx="31">
                  <c:v>Toyota</c:v>
                </c:pt>
                <c:pt idx="32">
                  <c:v>Volvo</c:v>
                </c:pt>
              </c:strCache>
            </c:strRef>
          </c:cat>
          <c:val>
            <c:numRef>
              <c:f>' top 10 brands'!$B$2:$B$35</c:f>
              <c:numCache>
                <c:formatCode>General</c:formatCode>
                <c:ptCount val="33"/>
                <c:pt idx="0">
                  <c:v>5</c:v>
                </c:pt>
                <c:pt idx="1">
                  <c:v>16</c:v>
                </c:pt>
                <c:pt idx="2">
                  <c:v>1</c:v>
                </c:pt>
                <c:pt idx="3">
                  <c:v>22</c:v>
                </c:pt>
                <c:pt idx="4">
                  <c:v>4</c:v>
                </c:pt>
                <c:pt idx="5">
                  <c:v>5</c:v>
                </c:pt>
                <c:pt idx="6">
                  <c:v>6</c:v>
                </c:pt>
                <c:pt idx="7">
                  <c:v>2</c:v>
                </c:pt>
                <c:pt idx="8">
                  <c:v>5</c:v>
                </c:pt>
                <c:pt idx="9">
                  <c:v>14</c:v>
                </c:pt>
                <c:pt idx="10">
                  <c:v>2</c:v>
                </c:pt>
                <c:pt idx="11">
                  <c:v>1</c:v>
                </c:pt>
                <c:pt idx="12">
                  <c:v>4</c:v>
                </c:pt>
                <c:pt idx="13">
                  <c:v>8</c:v>
                </c:pt>
                <c:pt idx="14">
                  <c:v>3</c:v>
                </c:pt>
                <c:pt idx="15">
                  <c:v>7</c:v>
                </c:pt>
                <c:pt idx="16">
                  <c:v>5</c:v>
                </c:pt>
                <c:pt idx="17">
                  <c:v>3</c:v>
                </c:pt>
                <c:pt idx="18">
                  <c:v>13</c:v>
                </c:pt>
                <c:pt idx="19">
                  <c:v>18</c:v>
                </c:pt>
                <c:pt idx="20">
                  <c:v>6</c:v>
                </c:pt>
                <c:pt idx="21">
                  <c:v>3</c:v>
                </c:pt>
                <c:pt idx="22">
                  <c:v>33</c:v>
                </c:pt>
                <c:pt idx="23">
                  <c:v>7</c:v>
                </c:pt>
                <c:pt idx="24">
                  <c:v>4</c:v>
                </c:pt>
                <c:pt idx="25">
                  <c:v>2</c:v>
                </c:pt>
                <c:pt idx="26">
                  <c:v>7</c:v>
                </c:pt>
                <c:pt idx="27">
                  <c:v>3</c:v>
                </c:pt>
                <c:pt idx="28">
                  <c:v>3</c:v>
                </c:pt>
                <c:pt idx="29">
                  <c:v>4</c:v>
                </c:pt>
                <c:pt idx="30">
                  <c:v>16</c:v>
                </c:pt>
                <c:pt idx="31">
                  <c:v>12</c:v>
                </c:pt>
                <c:pt idx="32">
                  <c:v>4</c:v>
                </c:pt>
              </c:numCache>
            </c:numRef>
          </c:val>
          <c:extLst>
            <c:ext xmlns:c16="http://schemas.microsoft.com/office/drawing/2014/chart" uri="{C3380CC4-5D6E-409C-BE32-E72D297353CC}">
              <c16:uniqueId val="{00000000-A449-462F-95B1-DF61034454C1}"/>
            </c:ext>
          </c:extLst>
        </c:ser>
        <c:dLbls>
          <c:showLegendKey val="0"/>
          <c:showVal val="0"/>
          <c:showCatName val="0"/>
          <c:showSerName val="0"/>
          <c:showPercent val="0"/>
          <c:showBubbleSize val="0"/>
        </c:dLbls>
        <c:gapWidth val="269"/>
        <c:overlap val="-20"/>
        <c:axId val="1145931759"/>
        <c:axId val="1145936079"/>
      </c:barChart>
      <c:catAx>
        <c:axId val="1145931759"/>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45936079"/>
        <c:crosses val="autoZero"/>
        <c:auto val="1"/>
        <c:lblAlgn val="ctr"/>
        <c:lblOffset val="100"/>
        <c:noMultiLvlLbl val="0"/>
      </c:catAx>
      <c:valAx>
        <c:axId val="1145936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5931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1.xlsx]milage!PivotTable2</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best</a:t>
            </a:r>
            <a:r>
              <a:rPr lang="en-US" baseline="0"/>
              <a:t> mileage car</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milage!$B$1</c:f>
              <c:strCache>
                <c:ptCount val="1"/>
                <c:pt idx="0">
                  <c:v>Total</c:v>
                </c:pt>
              </c:strCache>
            </c:strRef>
          </c:tx>
          <c:spPr>
            <a:pattFill prst="ltUpDiag">
              <a:fgClr>
                <a:schemeClr val="accent1"/>
              </a:fgClr>
              <a:bgClr>
                <a:schemeClr val="lt1"/>
              </a:bgClr>
            </a:pattFill>
            <a:ln>
              <a:noFill/>
            </a:ln>
            <a:effectLst/>
          </c:spPr>
          <c:invertIfNegative val="0"/>
          <c:cat>
            <c:strRef>
              <c:f>milage!$A$2:$A$13</c:f>
              <c:strCache>
                <c:ptCount val="11"/>
                <c:pt idx="0">
                  <c:v>Audi e-tron Sportback</c:v>
                </c:pt>
                <c:pt idx="1">
                  <c:v>BMW iX1 LWB</c:v>
                </c:pt>
                <c:pt idx="2">
                  <c:v>BMW XM</c:v>
                </c:pt>
                <c:pt idx="3">
                  <c:v>Kia EV6</c:v>
                </c:pt>
                <c:pt idx="4">
                  <c:v>Kia EV9</c:v>
                </c:pt>
                <c:pt idx="5">
                  <c:v>Mahindra BE 6</c:v>
                </c:pt>
                <c:pt idx="6">
                  <c:v>Mahindra XEV 9e</c:v>
                </c:pt>
                <c:pt idx="7">
                  <c:v>MG ZS EV</c:v>
                </c:pt>
                <c:pt idx="8">
                  <c:v>MINI Countryman Electric</c:v>
                </c:pt>
                <c:pt idx="9">
                  <c:v>Tata Curvv EV</c:v>
                </c:pt>
                <c:pt idx="10">
                  <c:v>Tata Harrier EV Stealth</c:v>
                </c:pt>
              </c:strCache>
            </c:strRef>
          </c:cat>
          <c:val>
            <c:numRef>
              <c:f>milage!$B$2:$B$13</c:f>
              <c:numCache>
                <c:formatCode>General</c:formatCode>
                <c:ptCount val="11"/>
                <c:pt idx="0">
                  <c:v>43</c:v>
                </c:pt>
                <c:pt idx="1">
                  <c:v>60</c:v>
                </c:pt>
                <c:pt idx="2">
                  <c:v>61</c:v>
                </c:pt>
                <c:pt idx="3">
                  <c:v>55</c:v>
                </c:pt>
                <c:pt idx="4">
                  <c:v>45</c:v>
                </c:pt>
                <c:pt idx="5">
                  <c:v>70</c:v>
                </c:pt>
                <c:pt idx="6">
                  <c:v>69</c:v>
                </c:pt>
                <c:pt idx="7">
                  <c:v>43</c:v>
                </c:pt>
                <c:pt idx="8">
                  <c:v>43</c:v>
                </c:pt>
                <c:pt idx="9">
                  <c:v>50</c:v>
                </c:pt>
                <c:pt idx="10">
                  <c:v>75</c:v>
                </c:pt>
              </c:numCache>
            </c:numRef>
          </c:val>
          <c:extLst>
            <c:ext xmlns:c16="http://schemas.microsoft.com/office/drawing/2014/chart" uri="{C3380CC4-5D6E-409C-BE32-E72D297353CC}">
              <c16:uniqueId val="{00000000-025A-475A-A2BE-90F11E2952B9}"/>
            </c:ext>
          </c:extLst>
        </c:ser>
        <c:dLbls>
          <c:showLegendKey val="0"/>
          <c:showVal val="0"/>
          <c:showCatName val="0"/>
          <c:showSerName val="0"/>
          <c:showPercent val="0"/>
          <c:showBubbleSize val="0"/>
        </c:dLbls>
        <c:gapWidth val="269"/>
        <c:overlap val="-20"/>
        <c:axId val="1411895824"/>
        <c:axId val="1411891504"/>
      </c:barChart>
      <c:catAx>
        <c:axId val="1411895824"/>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11891504"/>
        <c:crosses val="autoZero"/>
        <c:auto val="1"/>
        <c:lblAlgn val="ctr"/>
        <c:lblOffset val="100"/>
        <c:noMultiLvlLbl val="0"/>
      </c:catAx>
      <c:valAx>
        <c:axId val="141189150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11895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1.xlsx]best rated car!PivotTable3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Best</a:t>
            </a:r>
            <a:r>
              <a:rPr lang="en-US" baseline="0"/>
              <a:t> rated cars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5"/>
            </a:fgClr>
            <a:bgClr>
              <a:schemeClr val="lt1"/>
            </a:bgClr>
          </a:pattFill>
          <a:ln>
            <a:noFill/>
          </a:ln>
          <a:effectLst/>
        </c:spPr>
        <c:marker>
          <c:symbol val="none"/>
        </c:marker>
        <c:dLbl>
          <c:idx val="0"/>
          <c:spPr>
            <a:solidFill>
              <a:srgbClr val="4BACC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 rated car'!$B$1</c:f>
              <c:strCache>
                <c:ptCount val="1"/>
                <c:pt idx="0">
                  <c:v>Total</c:v>
                </c:pt>
              </c:strCache>
            </c:strRef>
          </c:tx>
          <c:spPr>
            <a:pattFill prst="ltUpDiag">
              <a:fgClr>
                <a:schemeClr val="accent5"/>
              </a:fgClr>
              <a:bgClr>
                <a:schemeClr val="lt1"/>
              </a:bgClr>
            </a:pattFill>
            <a:ln>
              <a:noFill/>
            </a:ln>
            <a:effectLst/>
          </c:spPr>
          <c:invertIfNegative val="0"/>
          <c:dLbls>
            <c:spPr>
              <a:solidFill>
                <a:srgbClr val="4BACC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errBars>
            <c:errBarType val="both"/>
            <c:errValType val="stdErr"/>
            <c:noEndCap val="0"/>
            <c:spPr>
              <a:noFill/>
              <a:ln w="9525">
                <a:solidFill>
                  <a:schemeClr val="accent5">
                    <a:lumMod val="60000"/>
                    <a:lumOff val="40000"/>
                  </a:schemeClr>
                </a:solidFill>
                <a:round/>
              </a:ln>
              <a:effectLst>
                <a:glow rad="25400">
                  <a:schemeClr val="lt1"/>
                </a:glow>
              </a:effectLst>
            </c:spPr>
          </c:errBars>
          <c:cat>
            <c:strRef>
              <c:f>'best rated car'!$A$2:$A$17</c:f>
              <c:strCache>
                <c:ptCount val="15"/>
                <c:pt idx="0">
                  <c:v>Bentley Bentayga</c:v>
                </c:pt>
                <c:pt idx="1">
                  <c:v>BMW 3 Series LWB</c:v>
                </c:pt>
                <c:pt idx="2">
                  <c:v>BMW 5 Series</c:v>
                </c:pt>
                <c:pt idx="3">
                  <c:v>BMW M5</c:v>
                </c:pt>
                <c:pt idx="4">
                  <c:v>BMW X5</c:v>
                </c:pt>
                <c:pt idx="5">
                  <c:v>Lexus LX</c:v>
                </c:pt>
                <c:pt idx="6">
                  <c:v>Maserati MC20</c:v>
                </c:pt>
                <c:pt idx="7">
                  <c:v>Mercedes-Benz AMG EQS</c:v>
                </c:pt>
                <c:pt idx="8">
                  <c:v>Mercedes-Benz AMG G-Class</c:v>
                </c:pt>
                <c:pt idx="9">
                  <c:v>Mercedes-Benz AMG GT 63 S 4MATIC Plus</c:v>
                </c:pt>
                <c:pt idx="10">
                  <c:v>Mercedes-Benz G580 with EQ technology</c:v>
                </c:pt>
                <c:pt idx="11">
                  <c:v>Mercedes-Benz Maybach SL 680</c:v>
                </c:pt>
                <c:pt idx="12">
                  <c:v>Porsche Panamera</c:v>
                </c:pt>
                <c:pt idx="13">
                  <c:v>Rolls-Royce Spectre</c:v>
                </c:pt>
                <c:pt idx="14">
                  <c:v>Volvo XC60</c:v>
                </c:pt>
              </c:strCache>
            </c:strRef>
          </c:cat>
          <c:val>
            <c:numRef>
              <c:f>'best rated car'!$B$2:$B$17</c:f>
              <c:numCache>
                <c:formatCode>General</c:formatCode>
                <c:ptCount val="15"/>
                <c:pt idx="0">
                  <c:v>4.9000000000000004</c:v>
                </c:pt>
                <c:pt idx="1">
                  <c:v>4.9000000000000004</c:v>
                </c:pt>
                <c:pt idx="2">
                  <c:v>4.9000000000000004</c:v>
                </c:pt>
                <c:pt idx="3">
                  <c:v>4.9000000000000004</c:v>
                </c:pt>
                <c:pt idx="4">
                  <c:v>4.9000000000000004</c:v>
                </c:pt>
                <c:pt idx="5">
                  <c:v>4.9000000000000004</c:v>
                </c:pt>
                <c:pt idx="6">
                  <c:v>4.9000000000000004</c:v>
                </c:pt>
                <c:pt idx="7">
                  <c:v>4.9000000000000004</c:v>
                </c:pt>
                <c:pt idx="8">
                  <c:v>4.9000000000000004</c:v>
                </c:pt>
                <c:pt idx="9">
                  <c:v>4.9000000000000004</c:v>
                </c:pt>
                <c:pt idx="10">
                  <c:v>4.9000000000000004</c:v>
                </c:pt>
                <c:pt idx="11">
                  <c:v>4.9000000000000004</c:v>
                </c:pt>
                <c:pt idx="12">
                  <c:v>4.9000000000000004</c:v>
                </c:pt>
                <c:pt idx="13">
                  <c:v>4.9000000000000004</c:v>
                </c:pt>
                <c:pt idx="14">
                  <c:v>4.9000000000000004</c:v>
                </c:pt>
              </c:numCache>
            </c:numRef>
          </c:val>
          <c:extLst>
            <c:ext xmlns:c16="http://schemas.microsoft.com/office/drawing/2014/chart" uri="{C3380CC4-5D6E-409C-BE32-E72D297353CC}">
              <c16:uniqueId val="{00000000-709C-470E-9357-58D007C3E09E}"/>
            </c:ext>
          </c:extLst>
        </c:ser>
        <c:dLbls>
          <c:showLegendKey val="0"/>
          <c:showVal val="0"/>
          <c:showCatName val="0"/>
          <c:showSerName val="0"/>
          <c:showPercent val="0"/>
          <c:showBubbleSize val="0"/>
        </c:dLbls>
        <c:gapWidth val="269"/>
        <c:overlap val="-20"/>
        <c:axId val="137217087"/>
        <c:axId val="137224287"/>
      </c:barChart>
      <c:valAx>
        <c:axId val="137224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7217087"/>
        <c:crosses val="autoZero"/>
        <c:crossBetween val="between"/>
      </c:valAx>
      <c:catAx>
        <c:axId val="137217087"/>
        <c:scaling>
          <c:orientation val="minMax"/>
        </c:scaling>
        <c:delete val="0"/>
        <c:axPos val="l"/>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3722428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1.xlsx]best saftey rating!PivotTable16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Safety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hade val="37000"/>
            </a:schemeClr>
          </a:solidFill>
          <a:ln w="25400">
            <a:solidFill>
              <a:schemeClr val="lt1"/>
            </a:solidFill>
          </a:ln>
          <a:effectLst/>
          <a:sp3d contourW="25400">
            <a:contourClr>
              <a:schemeClr val="lt1"/>
            </a:contourClr>
          </a:sp3d>
        </c:spPr>
      </c:pivotFmt>
      <c:pivotFmt>
        <c:idx val="8"/>
        <c:spPr>
          <a:solidFill>
            <a:schemeClr val="accent5">
              <a:shade val="44000"/>
            </a:schemeClr>
          </a:solidFill>
          <a:ln w="25400">
            <a:solidFill>
              <a:schemeClr val="lt1"/>
            </a:solidFill>
          </a:ln>
          <a:effectLst/>
          <a:sp3d contourW="25400">
            <a:contourClr>
              <a:schemeClr val="lt1"/>
            </a:contourClr>
          </a:sp3d>
        </c:spPr>
      </c:pivotFmt>
      <c:pivotFmt>
        <c:idx val="9"/>
        <c:spPr>
          <a:solidFill>
            <a:schemeClr val="accent5">
              <a:shade val="52000"/>
            </a:schemeClr>
          </a:solidFill>
          <a:ln w="25400">
            <a:solidFill>
              <a:schemeClr val="lt1"/>
            </a:solidFill>
          </a:ln>
          <a:effectLst/>
          <a:sp3d contourW="25400">
            <a:contourClr>
              <a:schemeClr val="lt1"/>
            </a:contourClr>
          </a:sp3d>
        </c:spPr>
      </c:pivotFmt>
      <c:pivotFmt>
        <c:idx val="10"/>
        <c:spPr>
          <a:solidFill>
            <a:schemeClr val="accent5">
              <a:shade val="59000"/>
            </a:schemeClr>
          </a:solidFill>
          <a:ln w="25400">
            <a:solidFill>
              <a:schemeClr val="lt1"/>
            </a:solidFill>
          </a:ln>
          <a:effectLst/>
          <a:sp3d contourW="25400">
            <a:contourClr>
              <a:schemeClr val="lt1"/>
            </a:contourClr>
          </a:sp3d>
        </c:spPr>
      </c:pivotFmt>
      <c:pivotFmt>
        <c:idx val="11"/>
        <c:spPr>
          <a:solidFill>
            <a:schemeClr val="accent5">
              <a:shade val="66000"/>
            </a:schemeClr>
          </a:solidFill>
          <a:ln w="25400">
            <a:solidFill>
              <a:schemeClr val="lt1"/>
            </a:solidFill>
          </a:ln>
          <a:effectLst/>
          <a:sp3d contourW="25400">
            <a:contourClr>
              <a:schemeClr val="lt1"/>
            </a:contourClr>
          </a:sp3d>
        </c:spPr>
      </c:pivotFmt>
      <c:pivotFmt>
        <c:idx val="12"/>
        <c:spPr>
          <a:solidFill>
            <a:schemeClr val="accent5">
              <a:shade val="74000"/>
            </a:schemeClr>
          </a:solidFill>
          <a:ln w="25400">
            <a:solidFill>
              <a:schemeClr val="lt1"/>
            </a:solidFill>
          </a:ln>
          <a:effectLst/>
          <a:sp3d contourW="25400">
            <a:contourClr>
              <a:schemeClr val="lt1"/>
            </a:contourClr>
          </a:sp3d>
        </c:spPr>
      </c:pivotFmt>
      <c:pivotFmt>
        <c:idx val="13"/>
        <c:spPr>
          <a:solidFill>
            <a:schemeClr val="accent5">
              <a:shade val="81000"/>
            </a:schemeClr>
          </a:solidFill>
          <a:ln w="25400">
            <a:solidFill>
              <a:schemeClr val="lt1"/>
            </a:solidFill>
          </a:ln>
          <a:effectLst/>
          <a:sp3d contourW="25400">
            <a:contourClr>
              <a:schemeClr val="lt1"/>
            </a:contourClr>
          </a:sp3d>
        </c:spPr>
      </c:pivotFmt>
      <c:pivotFmt>
        <c:idx val="14"/>
        <c:spPr>
          <a:solidFill>
            <a:schemeClr val="accent5">
              <a:shade val="88000"/>
            </a:schemeClr>
          </a:solidFill>
          <a:ln w="25400">
            <a:solidFill>
              <a:schemeClr val="lt1"/>
            </a:solidFill>
          </a:ln>
          <a:effectLst/>
          <a:sp3d contourW="25400">
            <a:contourClr>
              <a:schemeClr val="lt1"/>
            </a:contourClr>
          </a:sp3d>
        </c:spPr>
      </c:pivotFmt>
      <c:pivotFmt>
        <c:idx val="15"/>
        <c:spPr>
          <a:solidFill>
            <a:schemeClr val="accent5">
              <a:shade val="96000"/>
            </a:schemeClr>
          </a:solidFill>
          <a:ln w="25400">
            <a:solidFill>
              <a:schemeClr val="lt1"/>
            </a:solidFill>
          </a:ln>
          <a:effectLst/>
          <a:sp3d contourW="25400">
            <a:contourClr>
              <a:schemeClr val="lt1"/>
            </a:contourClr>
          </a:sp3d>
        </c:spPr>
      </c:pivotFmt>
      <c:pivotFmt>
        <c:idx val="16"/>
        <c:spPr>
          <a:solidFill>
            <a:schemeClr val="accent5">
              <a:tint val="97000"/>
            </a:schemeClr>
          </a:solidFill>
          <a:ln w="25400">
            <a:solidFill>
              <a:schemeClr val="lt1"/>
            </a:solidFill>
          </a:ln>
          <a:effectLst/>
          <a:sp3d contourW="25400">
            <a:contourClr>
              <a:schemeClr val="lt1"/>
            </a:contourClr>
          </a:sp3d>
        </c:spPr>
      </c:pivotFmt>
      <c:pivotFmt>
        <c:idx val="17"/>
        <c:spPr>
          <a:solidFill>
            <a:schemeClr val="accent5">
              <a:tint val="89000"/>
            </a:schemeClr>
          </a:solidFill>
          <a:ln w="25400">
            <a:solidFill>
              <a:schemeClr val="lt1"/>
            </a:solidFill>
          </a:ln>
          <a:effectLst/>
          <a:sp3d contourW="25400">
            <a:contourClr>
              <a:schemeClr val="lt1"/>
            </a:contourClr>
          </a:sp3d>
        </c:spPr>
      </c:pivotFmt>
      <c:pivotFmt>
        <c:idx val="18"/>
        <c:spPr>
          <a:solidFill>
            <a:schemeClr val="accent5">
              <a:tint val="82000"/>
            </a:schemeClr>
          </a:solidFill>
          <a:ln w="25400">
            <a:solidFill>
              <a:schemeClr val="lt1"/>
            </a:solidFill>
          </a:ln>
          <a:effectLst/>
          <a:sp3d contourW="25400">
            <a:contourClr>
              <a:schemeClr val="lt1"/>
            </a:contourClr>
          </a:sp3d>
        </c:spPr>
      </c:pivotFmt>
      <c:pivotFmt>
        <c:idx val="19"/>
        <c:spPr>
          <a:solidFill>
            <a:schemeClr val="accent5">
              <a:tint val="75000"/>
            </a:schemeClr>
          </a:solidFill>
          <a:ln w="25400">
            <a:solidFill>
              <a:schemeClr val="lt1"/>
            </a:solidFill>
          </a:ln>
          <a:effectLst/>
          <a:sp3d contourW="25400">
            <a:contourClr>
              <a:schemeClr val="lt1"/>
            </a:contourClr>
          </a:sp3d>
        </c:spPr>
      </c:pivotFmt>
      <c:pivotFmt>
        <c:idx val="20"/>
        <c:spPr>
          <a:solidFill>
            <a:schemeClr val="accent5">
              <a:tint val="67000"/>
            </a:schemeClr>
          </a:solidFill>
          <a:ln w="25400">
            <a:solidFill>
              <a:schemeClr val="lt1"/>
            </a:solidFill>
          </a:ln>
          <a:effectLst/>
          <a:sp3d contourW="25400">
            <a:contourClr>
              <a:schemeClr val="lt1"/>
            </a:contourClr>
          </a:sp3d>
        </c:spPr>
      </c:pivotFmt>
      <c:pivotFmt>
        <c:idx val="21"/>
        <c:spPr>
          <a:solidFill>
            <a:schemeClr val="accent5">
              <a:tint val="60000"/>
            </a:schemeClr>
          </a:solidFill>
          <a:ln w="25400">
            <a:solidFill>
              <a:schemeClr val="lt1"/>
            </a:solidFill>
          </a:ln>
          <a:effectLst/>
          <a:sp3d contourW="25400">
            <a:contourClr>
              <a:schemeClr val="lt1"/>
            </a:contourClr>
          </a:sp3d>
        </c:spPr>
      </c:pivotFmt>
      <c:pivotFmt>
        <c:idx val="22"/>
        <c:spPr>
          <a:solidFill>
            <a:schemeClr val="accent5">
              <a:tint val="53000"/>
            </a:schemeClr>
          </a:solidFill>
          <a:ln w="25400">
            <a:solidFill>
              <a:schemeClr val="lt1"/>
            </a:solidFill>
          </a:ln>
          <a:effectLst/>
          <a:sp3d contourW="25400">
            <a:contourClr>
              <a:schemeClr val="lt1"/>
            </a:contourClr>
          </a:sp3d>
        </c:spPr>
      </c:pivotFmt>
      <c:pivotFmt>
        <c:idx val="23"/>
        <c:spPr>
          <a:solidFill>
            <a:schemeClr val="accent5">
              <a:tint val="45000"/>
            </a:schemeClr>
          </a:solidFill>
          <a:ln w="25400">
            <a:solidFill>
              <a:schemeClr val="lt1"/>
            </a:solidFill>
          </a:ln>
          <a:effectLst/>
          <a:sp3d contourW="25400">
            <a:contourClr>
              <a:schemeClr val="lt1"/>
            </a:contourClr>
          </a:sp3d>
        </c:spPr>
      </c:pivotFmt>
      <c:pivotFmt>
        <c:idx val="24"/>
        <c:spPr>
          <a:solidFill>
            <a:schemeClr val="accent5">
              <a:tint val="3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'best saftey rating'!$B$1</c:f>
              <c:strCache>
                <c:ptCount val="1"/>
                <c:pt idx="0">
                  <c:v>Total</c:v>
                </c:pt>
              </c:strCache>
            </c:strRef>
          </c:tx>
          <c:dPt>
            <c:idx val="0"/>
            <c:bubble3D val="0"/>
            <c:spPr>
              <a:solidFill>
                <a:schemeClr val="accent5">
                  <a:shade val="3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9830-41C1-A74E-A0C63F2A7380}"/>
              </c:ext>
            </c:extLst>
          </c:dPt>
          <c:dPt>
            <c:idx val="1"/>
            <c:bubble3D val="0"/>
            <c:spPr>
              <a:solidFill>
                <a:schemeClr val="accent5">
                  <a:shade val="4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30-41C1-A74E-A0C63F2A7380}"/>
              </c:ext>
            </c:extLst>
          </c:dPt>
          <c:dPt>
            <c:idx val="2"/>
            <c:bubble3D val="0"/>
            <c:spPr>
              <a:solidFill>
                <a:schemeClr val="accent5">
                  <a:shade val="52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30-41C1-A74E-A0C63F2A7380}"/>
              </c:ext>
            </c:extLst>
          </c:dPt>
          <c:dPt>
            <c:idx val="3"/>
            <c:bubble3D val="0"/>
            <c:spPr>
              <a:solidFill>
                <a:schemeClr val="accent5">
                  <a:shade val="59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9830-41C1-A74E-A0C63F2A7380}"/>
              </c:ext>
            </c:extLst>
          </c:dPt>
          <c:dPt>
            <c:idx val="4"/>
            <c:bubble3D val="0"/>
            <c:spPr>
              <a:solidFill>
                <a:schemeClr val="accent5">
                  <a:shade val="6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9830-41C1-A74E-A0C63F2A7380}"/>
              </c:ext>
            </c:extLst>
          </c:dPt>
          <c:dPt>
            <c:idx val="5"/>
            <c:bubble3D val="0"/>
            <c:spPr>
              <a:solidFill>
                <a:schemeClr val="accent5">
                  <a:shade val="7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9830-41C1-A74E-A0C63F2A7380}"/>
              </c:ext>
            </c:extLst>
          </c:dPt>
          <c:dPt>
            <c:idx val="6"/>
            <c:bubble3D val="0"/>
            <c:spPr>
              <a:solidFill>
                <a:schemeClr val="accent5">
                  <a:shade val="81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830-41C1-A74E-A0C63F2A7380}"/>
              </c:ext>
            </c:extLst>
          </c:dPt>
          <c:dPt>
            <c:idx val="7"/>
            <c:bubble3D val="0"/>
            <c:spPr>
              <a:solidFill>
                <a:schemeClr val="accent5">
                  <a:shade val="8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830-41C1-A74E-A0C63F2A7380}"/>
              </c:ext>
            </c:extLst>
          </c:dPt>
          <c:dPt>
            <c:idx val="8"/>
            <c:bubble3D val="0"/>
            <c:spPr>
              <a:solidFill>
                <a:schemeClr val="accent5">
                  <a:shade val="9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830-41C1-A74E-A0C63F2A7380}"/>
              </c:ext>
            </c:extLst>
          </c:dPt>
          <c:dPt>
            <c:idx val="9"/>
            <c:bubble3D val="0"/>
            <c:spPr>
              <a:solidFill>
                <a:schemeClr val="accent5">
                  <a:tint val="9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830-41C1-A74E-A0C63F2A7380}"/>
              </c:ext>
            </c:extLst>
          </c:dPt>
          <c:dPt>
            <c:idx val="10"/>
            <c:bubble3D val="0"/>
            <c:spPr>
              <a:solidFill>
                <a:schemeClr val="accent5">
                  <a:tint val="89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9830-41C1-A74E-A0C63F2A7380}"/>
              </c:ext>
            </c:extLst>
          </c:dPt>
          <c:dPt>
            <c:idx val="11"/>
            <c:bubble3D val="0"/>
            <c:spPr>
              <a:solidFill>
                <a:schemeClr val="accent5">
                  <a:tint val="82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830-41C1-A74E-A0C63F2A7380}"/>
              </c:ext>
            </c:extLst>
          </c:dPt>
          <c:dPt>
            <c:idx val="12"/>
            <c:bubble3D val="0"/>
            <c:spPr>
              <a:solidFill>
                <a:schemeClr val="accent5">
                  <a:tint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9830-41C1-A74E-A0C63F2A7380}"/>
              </c:ext>
            </c:extLst>
          </c:dPt>
          <c:dPt>
            <c:idx val="13"/>
            <c:bubble3D val="0"/>
            <c:spPr>
              <a:solidFill>
                <a:schemeClr val="accent5">
                  <a:tint val="6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9830-41C1-A74E-A0C63F2A7380}"/>
              </c:ext>
            </c:extLst>
          </c:dPt>
          <c:dPt>
            <c:idx val="14"/>
            <c:bubble3D val="0"/>
            <c:spPr>
              <a:solidFill>
                <a:schemeClr val="accent5">
                  <a:tint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9830-41C1-A74E-A0C63F2A7380}"/>
              </c:ext>
            </c:extLst>
          </c:dPt>
          <c:dPt>
            <c:idx val="15"/>
            <c:bubble3D val="0"/>
            <c:spPr>
              <a:solidFill>
                <a:schemeClr val="accent5">
                  <a:tint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9830-41C1-A74E-A0C63F2A7380}"/>
              </c:ext>
            </c:extLst>
          </c:dPt>
          <c:dPt>
            <c:idx val="16"/>
            <c:bubble3D val="0"/>
            <c:spPr>
              <a:solidFill>
                <a:schemeClr val="accent5">
                  <a:tint val="4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9830-41C1-A74E-A0C63F2A7380}"/>
              </c:ext>
            </c:extLst>
          </c:dPt>
          <c:dPt>
            <c:idx val="17"/>
            <c:bubble3D val="0"/>
            <c:spPr>
              <a:solidFill>
                <a:schemeClr val="accent5">
                  <a:tint val="3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9830-41C1-A74E-A0C63F2A73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'best saftey rating'!$A$2:$A$20</c:f>
              <c:strCache>
                <c:ptCount val="18"/>
                <c:pt idx="0">
                  <c:v>Aston Martin DB11</c:v>
                </c:pt>
                <c:pt idx="1">
                  <c:v>Aston Martin Vantage</c:v>
                </c:pt>
                <c:pt idx="2">
                  <c:v>Audi RS5</c:v>
                </c:pt>
                <c:pt idx="3">
                  <c:v>Audi S5 Sportback</c:v>
                </c:pt>
                <c:pt idx="4">
                  <c:v>Bentley Bentayga</c:v>
                </c:pt>
                <c:pt idx="5">
                  <c:v>BMW 7 Series</c:v>
                </c:pt>
                <c:pt idx="6">
                  <c:v>BYD Atto 3</c:v>
                </c:pt>
                <c:pt idx="7">
                  <c:v>Defender</c:v>
                </c:pt>
                <c:pt idx="8">
                  <c:v>Ferrari 296 GTS</c:v>
                </c:pt>
                <c:pt idx="9">
                  <c:v>Ferrari Purosangue SUV</c:v>
                </c:pt>
                <c:pt idx="10">
                  <c:v>Jaguar F-Pace</c:v>
                </c:pt>
                <c:pt idx="11">
                  <c:v>Jeep Compass</c:v>
                </c:pt>
                <c:pt idx="12">
                  <c:v>Kia Carnival</c:v>
                </c:pt>
                <c:pt idx="13">
                  <c:v>Lamborghini Revuelto</c:v>
                </c:pt>
                <c:pt idx="14">
                  <c:v>Lexus ES</c:v>
                </c:pt>
                <c:pt idx="15">
                  <c:v>Mahindra XUV700</c:v>
                </c:pt>
                <c:pt idx="16">
                  <c:v>Maserati Quattroporte</c:v>
                </c:pt>
                <c:pt idx="17">
                  <c:v>McLaren 720S</c:v>
                </c:pt>
              </c:strCache>
            </c:strRef>
          </c:cat>
          <c:val>
            <c:numRef>
              <c:f>'best saftey rating'!$B$2:$B$20</c:f>
              <c:numCache>
                <c:formatCode>General</c:formatCode>
                <c:ptCount val="18"/>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numCache>
            </c:numRef>
          </c:val>
          <c:extLst>
            <c:ext xmlns:c16="http://schemas.microsoft.com/office/drawing/2014/chart" uri="{C3380CC4-5D6E-409C-BE32-E72D297353CC}">
              <c16:uniqueId val="{00000000-547C-4E9D-813C-3A24F97DC13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1.xlsx]best saler brand!PivotTable1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BEST</a:t>
            </a:r>
            <a:r>
              <a:rPr lang="en-US" baseline="0"/>
              <a:t> SALER BRAND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'best saler brand'!$B$1</c:f>
              <c:strCache>
                <c:ptCount val="1"/>
                <c:pt idx="0">
                  <c:v>Total</c:v>
                </c:pt>
              </c:strCache>
            </c:strRef>
          </c:tx>
          <c:dPt>
            <c:idx val="0"/>
            <c:bubble3D val="0"/>
            <c:spPr>
              <a:gradFill rotWithShape="1">
                <a:gsLst>
                  <a:gs pos="0">
                    <a:schemeClr val="accent5">
                      <a:shade val="42000"/>
                      <a:shade val="51000"/>
                      <a:satMod val="130000"/>
                    </a:schemeClr>
                  </a:gs>
                  <a:gs pos="80000">
                    <a:schemeClr val="accent5">
                      <a:shade val="42000"/>
                      <a:shade val="93000"/>
                      <a:satMod val="130000"/>
                    </a:schemeClr>
                  </a:gs>
                  <a:gs pos="100000">
                    <a:schemeClr val="accent5">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6CBA-49F4-9F92-31A2D09373F1}"/>
              </c:ext>
            </c:extLst>
          </c:dPt>
          <c:dPt>
            <c:idx val="1"/>
            <c:bubble3D val="0"/>
            <c:spPr>
              <a:gradFill rotWithShape="1">
                <a:gsLst>
                  <a:gs pos="0">
                    <a:schemeClr val="accent5">
                      <a:shade val="55000"/>
                      <a:shade val="51000"/>
                      <a:satMod val="130000"/>
                    </a:schemeClr>
                  </a:gs>
                  <a:gs pos="80000">
                    <a:schemeClr val="accent5">
                      <a:shade val="55000"/>
                      <a:shade val="93000"/>
                      <a:satMod val="130000"/>
                    </a:schemeClr>
                  </a:gs>
                  <a:gs pos="100000">
                    <a:schemeClr val="accent5">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CBA-49F4-9F92-31A2D09373F1}"/>
              </c:ext>
            </c:extLst>
          </c:dPt>
          <c:dPt>
            <c:idx val="2"/>
            <c:bubble3D val="0"/>
            <c:spPr>
              <a:gradFill rotWithShape="1">
                <a:gsLst>
                  <a:gs pos="0">
                    <a:schemeClr val="accent5">
                      <a:shade val="68000"/>
                      <a:shade val="51000"/>
                      <a:satMod val="130000"/>
                    </a:schemeClr>
                  </a:gs>
                  <a:gs pos="80000">
                    <a:schemeClr val="accent5">
                      <a:shade val="68000"/>
                      <a:shade val="93000"/>
                      <a:satMod val="130000"/>
                    </a:schemeClr>
                  </a:gs>
                  <a:gs pos="100000">
                    <a:schemeClr val="accent5">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6CBA-49F4-9F92-31A2D09373F1}"/>
              </c:ext>
            </c:extLst>
          </c:dPt>
          <c:dPt>
            <c:idx val="3"/>
            <c:bubble3D val="0"/>
            <c:spPr>
              <a:gradFill rotWithShape="1">
                <a:gsLst>
                  <a:gs pos="0">
                    <a:schemeClr val="accent5">
                      <a:shade val="80000"/>
                      <a:shade val="51000"/>
                      <a:satMod val="130000"/>
                    </a:schemeClr>
                  </a:gs>
                  <a:gs pos="80000">
                    <a:schemeClr val="accent5">
                      <a:shade val="80000"/>
                      <a:shade val="93000"/>
                      <a:satMod val="130000"/>
                    </a:schemeClr>
                  </a:gs>
                  <a:gs pos="100000">
                    <a:schemeClr val="accent5">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CBA-49F4-9F92-31A2D09373F1}"/>
              </c:ext>
            </c:extLst>
          </c:dPt>
          <c:dPt>
            <c:idx val="4"/>
            <c:bubble3D val="0"/>
            <c:spPr>
              <a:gradFill rotWithShape="1">
                <a:gsLst>
                  <a:gs pos="0">
                    <a:schemeClr val="accent5">
                      <a:shade val="93000"/>
                      <a:shade val="51000"/>
                      <a:satMod val="130000"/>
                    </a:schemeClr>
                  </a:gs>
                  <a:gs pos="80000">
                    <a:schemeClr val="accent5">
                      <a:shade val="93000"/>
                      <a:shade val="93000"/>
                      <a:satMod val="130000"/>
                    </a:schemeClr>
                  </a:gs>
                  <a:gs pos="100000">
                    <a:schemeClr val="accent5">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6CBA-49F4-9F92-31A2D09373F1}"/>
              </c:ext>
            </c:extLst>
          </c:dPt>
          <c:dPt>
            <c:idx val="5"/>
            <c:bubble3D val="0"/>
            <c:spPr>
              <a:gradFill rotWithShape="1">
                <a:gsLst>
                  <a:gs pos="0">
                    <a:schemeClr val="accent5">
                      <a:tint val="94000"/>
                      <a:shade val="51000"/>
                      <a:satMod val="130000"/>
                    </a:schemeClr>
                  </a:gs>
                  <a:gs pos="80000">
                    <a:schemeClr val="accent5">
                      <a:tint val="94000"/>
                      <a:shade val="93000"/>
                      <a:satMod val="130000"/>
                    </a:schemeClr>
                  </a:gs>
                  <a:gs pos="100000">
                    <a:schemeClr val="accent5">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CBA-49F4-9F92-31A2D09373F1}"/>
              </c:ext>
            </c:extLst>
          </c:dPt>
          <c:dPt>
            <c:idx val="6"/>
            <c:bubble3D val="0"/>
            <c:spPr>
              <a:gradFill rotWithShape="1">
                <a:gsLst>
                  <a:gs pos="0">
                    <a:schemeClr val="accent5">
                      <a:tint val="81000"/>
                      <a:shade val="51000"/>
                      <a:satMod val="130000"/>
                    </a:schemeClr>
                  </a:gs>
                  <a:gs pos="80000">
                    <a:schemeClr val="accent5">
                      <a:tint val="81000"/>
                      <a:shade val="93000"/>
                      <a:satMod val="130000"/>
                    </a:schemeClr>
                  </a:gs>
                  <a:gs pos="100000">
                    <a:schemeClr val="accent5">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6CBA-49F4-9F92-31A2D09373F1}"/>
              </c:ext>
            </c:extLst>
          </c:dPt>
          <c:dPt>
            <c:idx val="7"/>
            <c:bubble3D val="0"/>
            <c:spPr>
              <a:gradFill rotWithShape="1">
                <a:gsLst>
                  <a:gs pos="0">
                    <a:schemeClr val="accent5">
                      <a:tint val="69000"/>
                      <a:shade val="51000"/>
                      <a:satMod val="130000"/>
                    </a:schemeClr>
                  </a:gs>
                  <a:gs pos="80000">
                    <a:schemeClr val="accent5">
                      <a:tint val="69000"/>
                      <a:shade val="93000"/>
                      <a:satMod val="130000"/>
                    </a:schemeClr>
                  </a:gs>
                  <a:gs pos="100000">
                    <a:schemeClr val="accent5">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CBA-49F4-9F92-31A2D09373F1}"/>
              </c:ext>
            </c:extLst>
          </c:dPt>
          <c:dPt>
            <c:idx val="8"/>
            <c:bubble3D val="0"/>
            <c:spPr>
              <a:gradFill rotWithShape="1">
                <a:gsLst>
                  <a:gs pos="0">
                    <a:schemeClr val="accent5">
                      <a:tint val="56000"/>
                      <a:shade val="51000"/>
                      <a:satMod val="130000"/>
                    </a:schemeClr>
                  </a:gs>
                  <a:gs pos="80000">
                    <a:schemeClr val="accent5">
                      <a:tint val="56000"/>
                      <a:shade val="93000"/>
                      <a:satMod val="130000"/>
                    </a:schemeClr>
                  </a:gs>
                  <a:gs pos="100000">
                    <a:schemeClr val="accent5">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6CBA-49F4-9F92-31A2D09373F1}"/>
              </c:ext>
            </c:extLst>
          </c:dPt>
          <c:dPt>
            <c:idx val="9"/>
            <c:bubble3D val="0"/>
            <c:spPr>
              <a:gradFill rotWithShape="1">
                <a:gsLst>
                  <a:gs pos="0">
                    <a:schemeClr val="accent5">
                      <a:tint val="43000"/>
                      <a:shade val="51000"/>
                      <a:satMod val="130000"/>
                    </a:schemeClr>
                  </a:gs>
                  <a:gs pos="80000">
                    <a:schemeClr val="accent5">
                      <a:tint val="43000"/>
                      <a:shade val="93000"/>
                      <a:satMod val="130000"/>
                    </a:schemeClr>
                  </a:gs>
                  <a:gs pos="100000">
                    <a:schemeClr val="accent5">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6CBA-49F4-9F92-31A2D09373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'best saler brand'!$A$2:$A$12</c:f>
              <c:strCache>
                <c:ptCount val="10"/>
                <c:pt idx="0">
                  <c:v>BMW</c:v>
                </c:pt>
                <c:pt idx="1">
                  <c:v>Honda</c:v>
                </c:pt>
                <c:pt idx="2">
                  <c:v>Hyundai</c:v>
                </c:pt>
                <c:pt idx="3">
                  <c:v>Kia</c:v>
                </c:pt>
                <c:pt idx="4">
                  <c:v>Mahindra</c:v>
                </c:pt>
                <c:pt idx="5">
                  <c:v>Maruti Suzuki</c:v>
                </c:pt>
                <c:pt idx="6">
                  <c:v>Mercedes-Benz</c:v>
                </c:pt>
                <c:pt idx="7">
                  <c:v>Skoda</c:v>
                </c:pt>
                <c:pt idx="8">
                  <c:v>Tata</c:v>
                </c:pt>
                <c:pt idx="9">
                  <c:v>Toyota</c:v>
                </c:pt>
              </c:strCache>
            </c:strRef>
          </c:cat>
          <c:val>
            <c:numRef>
              <c:f>'best saler brand'!$B$2:$B$12</c:f>
              <c:numCache>
                <c:formatCode>General</c:formatCode>
                <c:ptCount val="10"/>
                <c:pt idx="0">
                  <c:v>67283</c:v>
                </c:pt>
                <c:pt idx="1">
                  <c:v>116871</c:v>
                </c:pt>
                <c:pt idx="2">
                  <c:v>728246</c:v>
                </c:pt>
                <c:pt idx="3">
                  <c:v>305960</c:v>
                </c:pt>
                <c:pt idx="4">
                  <c:v>881254</c:v>
                </c:pt>
                <c:pt idx="5">
                  <c:v>1960059</c:v>
                </c:pt>
                <c:pt idx="6">
                  <c:v>553276</c:v>
                </c:pt>
                <c:pt idx="7">
                  <c:v>66663</c:v>
                </c:pt>
                <c:pt idx="8">
                  <c:v>916644</c:v>
                </c:pt>
                <c:pt idx="9">
                  <c:v>412830</c:v>
                </c:pt>
              </c:numCache>
            </c:numRef>
          </c:val>
          <c:extLst>
            <c:ext xmlns:c16="http://schemas.microsoft.com/office/drawing/2014/chart" uri="{C3380CC4-5D6E-409C-BE32-E72D297353CC}">
              <c16:uniqueId val="{00000000-6CBA-49F4-9F92-31A2D09373F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1.xlsx]milage!PivotTable2</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BEST MILEAGE CARS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milage!$B$1</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milage!$A$2:$A$13</c:f>
              <c:strCache>
                <c:ptCount val="11"/>
                <c:pt idx="0">
                  <c:v>Audi e-tron Sportback</c:v>
                </c:pt>
                <c:pt idx="1">
                  <c:v>BMW iX1 LWB</c:v>
                </c:pt>
                <c:pt idx="2">
                  <c:v>BMW XM</c:v>
                </c:pt>
                <c:pt idx="3">
                  <c:v>Kia EV6</c:v>
                </c:pt>
                <c:pt idx="4">
                  <c:v>Kia EV9</c:v>
                </c:pt>
                <c:pt idx="5">
                  <c:v>Mahindra BE 6</c:v>
                </c:pt>
                <c:pt idx="6">
                  <c:v>Mahindra XEV 9e</c:v>
                </c:pt>
                <c:pt idx="7">
                  <c:v>MG ZS EV</c:v>
                </c:pt>
                <c:pt idx="8">
                  <c:v>MINI Countryman Electric</c:v>
                </c:pt>
                <c:pt idx="9">
                  <c:v>Tata Curvv EV</c:v>
                </c:pt>
                <c:pt idx="10">
                  <c:v>Tata Harrier EV Stealth</c:v>
                </c:pt>
              </c:strCache>
            </c:strRef>
          </c:cat>
          <c:val>
            <c:numRef>
              <c:f>milage!$B$2:$B$13</c:f>
              <c:numCache>
                <c:formatCode>General</c:formatCode>
                <c:ptCount val="11"/>
                <c:pt idx="0">
                  <c:v>43</c:v>
                </c:pt>
                <c:pt idx="1">
                  <c:v>60</c:v>
                </c:pt>
                <c:pt idx="2">
                  <c:v>61</c:v>
                </c:pt>
                <c:pt idx="3">
                  <c:v>55</c:v>
                </c:pt>
                <c:pt idx="4">
                  <c:v>45</c:v>
                </c:pt>
                <c:pt idx="5">
                  <c:v>70</c:v>
                </c:pt>
                <c:pt idx="6">
                  <c:v>69</c:v>
                </c:pt>
                <c:pt idx="7">
                  <c:v>43</c:v>
                </c:pt>
                <c:pt idx="8">
                  <c:v>43</c:v>
                </c:pt>
                <c:pt idx="9">
                  <c:v>50</c:v>
                </c:pt>
                <c:pt idx="10">
                  <c:v>75</c:v>
                </c:pt>
              </c:numCache>
            </c:numRef>
          </c:val>
          <c:extLst>
            <c:ext xmlns:c16="http://schemas.microsoft.com/office/drawing/2014/chart" uri="{C3380CC4-5D6E-409C-BE32-E72D297353CC}">
              <c16:uniqueId val="{00000000-5CBD-4F35-9623-AAFF85D386AF}"/>
            </c:ext>
          </c:extLst>
        </c:ser>
        <c:dLbls>
          <c:dLblPos val="outEnd"/>
          <c:showLegendKey val="0"/>
          <c:showVal val="1"/>
          <c:showCatName val="0"/>
          <c:showSerName val="0"/>
          <c:showPercent val="0"/>
          <c:showBubbleSize val="0"/>
        </c:dLbls>
        <c:gapWidth val="269"/>
        <c:overlap val="-20"/>
        <c:axId val="1140791487"/>
        <c:axId val="1140791967"/>
      </c:barChart>
      <c:catAx>
        <c:axId val="1140791487"/>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40791967"/>
        <c:crosses val="autoZero"/>
        <c:auto val="1"/>
        <c:lblAlgn val="ctr"/>
        <c:lblOffset val="100"/>
        <c:noMultiLvlLbl val="0"/>
      </c:catAx>
      <c:valAx>
        <c:axId val="1140791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0791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1.xlsx]best rated car!PivotTable3</c:name>
    <c:fmtId val="1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Best</a:t>
            </a:r>
            <a:r>
              <a:rPr lang="en-US" baseline="0"/>
              <a:t> rated cars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chemeClr val="accent1">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chemeClr val="accent1">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chemeClr val="accent1">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 rated car'!$B$1</c:f>
              <c:strCache>
                <c:ptCount val="1"/>
                <c:pt idx="0">
                  <c:v>Total</c:v>
                </c:pt>
              </c:strCache>
            </c:strRef>
          </c:tx>
          <c:spPr>
            <a:pattFill prst="ltUpDiag">
              <a:fgClr>
                <a:schemeClr val="accent1"/>
              </a:fgClr>
              <a:bgClr>
                <a:schemeClr val="lt1"/>
              </a:bgClr>
            </a:pattFill>
            <a:ln>
              <a:noFill/>
            </a:ln>
            <a:effectLst/>
          </c:spPr>
          <c:invertIfNegative val="0"/>
          <c:dLbls>
            <c:spPr>
              <a:solidFill>
                <a:schemeClr val="accent1">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errBars>
            <c:errBarType val="both"/>
            <c:errValType val="stdErr"/>
            <c:noEndCap val="0"/>
            <c:spPr>
              <a:noFill/>
              <a:ln w="9525">
                <a:solidFill>
                  <a:schemeClr val="accent1">
                    <a:lumMod val="60000"/>
                    <a:lumOff val="40000"/>
                  </a:schemeClr>
                </a:solidFill>
                <a:round/>
              </a:ln>
              <a:effectLst>
                <a:glow rad="25400">
                  <a:schemeClr val="lt1"/>
                </a:glow>
              </a:effectLst>
            </c:spPr>
          </c:errBars>
          <c:cat>
            <c:strRef>
              <c:f>'best rated car'!$A$2:$A$17</c:f>
              <c:strCache>
                <c:ptCount val="15"/>
                <c:pt idx="0">
                  <c:v>Bentley Bentayga</c:v>
                </c:pt>
                <c:pt idx="1">
                  <c:v>BMW 3 Series LWB</c:v>
                </c:pt>
                <c:pt idx="2">
                  <c:v>BMW 5 Series</c:v>
                </c:pt>
                <c:pt idx="3">
                  <c:v>BMW M5</c:v>
                </c:pt>
                <c:pt idx="4">
                  <c:v>BMW X5</c:v>
                </c:pt>
                <c:pt idx="5">
                  <c:v>Lexus LX</c:v>
                </c:pt>
                <c:pt idx="6">
                  <c:v>Maserati MC20</c:v>
                </c:pt>
                <c:pt idx="7">
                  <c:v>Mercedes-Benz AMG EQS</c:v>
                </c:pt>
                <c:pt idx="8">
                  <c:v>Mercedes-Benz AMG G-Class</c:v>
                </c:pt>
                <c:pt idx="9">
                  <c:v>Mercedes-Benz AMG GT 63 S 4MATIC Plus</c:v>
                </c:pt>
                <c:pt idx="10">
                  <c:v>Mercedes-Benz G580 with EQ technology</c:v>
                </c:pt>
                <c:pt idx="11">
                  <c:v>Mercedes-Benz Maybach SL 680</c:v>
                </c:pt>
                <c:pt idx="12">
                  <c:v>Porsche Panamera</c:v>
                </c:pt>
                <c:pt idx="13">
                  <c:v>Rolls-Royce Spectre</c:v>
                </c:pt>
                <c:pt idx="14">
                  <c:v>Volvo XC60</c:v>
                </c:pt>
              </c:strCache>
            </c:strRef>
          </c:cat>
          <c:val>
            <c:numRef>
              <c:f>'best rated car'!$B$2:$B$17</c:f>
              <c:numCache>
                <c:formatCode>General</c:formatCode>
                <c:ptCount val="15"/>
                <c:pt idx="0">
                  <c:v>4.9000000000000004</c:v>
                </c:pt>
                <c:pt idx="1">
                  <c:v>4.9000000000000004</c:v>
                </c:pt>
                <c:pt idx="2">
                  <c:v>4.9000000000000004</c:v>
                </c:pt>
                <c:pt idx="3">
                  <c:v>4.9000000000000004</c:v>
                </c:pt>
                <c:pt idx="4">
                  <c:v>4.9000000000000004</c:v>
                </c:pt>
                <c:pt idx="5">
                  <c:v>4.9000000000000004</c:v>
                </c:pt>
                <c:pt idx="6">
                  <c:v>4.9000000000000004</c:v>
                </c:pt>
                <c:pt idx="7">
                  <c:v>4.9000000000000004</c:v>
                </c:pt>
                <c:pt idx="8">
                  <c:v>4.9000000000000004</c:v>
                </c:pt>
                <c:pt idx="9">
                  <c:v>4.9000000000000004</c:v>
                </c:pt>
                <c:pt idx="10">
                  <c:v>4.9000000000000004</c:v>
                </c:pt>
                <c:pt idx="11">
                  <c:v>4.9000000000000004</c:v>
                </c:pt>
                <c:pt idx="12">
                  <c:v>4.9000000000000004</c:v>
                </c:pt>
                <c:pt idx="13">
                  <c:v>4.9000000000000004</c:v>
                </c:pt>
                <c:pt idx="14">
                  <c:v>4.9000000000000004</c:v>
                </c:pt>
              </c:numCache>
            </c:numRef>
          </c:val>
          <c:extLst>
            <c:ext xmlns:c16="http://schemas.microsoft.com/office/drawing/2014/chart" uri="{C3380CC4-5D6E-409C-BE32-E72D297353CC}">
              <c16:uniqueId val="{00000000-DEBC-411C-9187-550CB328C502}"/>
            </c:ext>
          </c:extLst>
        </c:ser>
        <c:dLbls>
          <c:showLegendKey val="0"/>
          <c:showVal val="0"/>
          <c:showCatName val="0"/>
          <c:showSerName val="0"/>
          <c:showPercent val="0"/>
          <c:showBubbleSize val="0"/>
        </c:dLbls>
        <c:gapWidth val="269"/>
        <c:overlap val="-20"/>
        <c:axId val="137217087"/>
        <c:axId val="137224287"/>
      </c:barChart>
      <c:valAx>
        <c:axId val="137224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7217087"/>
        <c:crosses val="autoZero"/>
        <c:crossBetween val="between"/>
      </c:valAx>
      <c:catAx>
        <c:axId val="137217087"/>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3722428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1.xlsx]best saftey rating!PivotTable16</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cap="all" baseline="0">
                <a:solidFill>
                  <a:schemeClr val="tx1"/>
                </a:solidFill>
              </a:rPr>
              <a:t>Best Safety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hade val="37000"/>
            </a:schemeClr>
          </a:solidFill>
          <a:ln w="25400">
            <a:solidFill>
              <a:schemeClr val="lt1"/>
            </a:solidFill>
          </a:ln>
          <a:effectLst/>
          <a:sp3d contourW="25400">
            <a:contourClr>
              <a:schemeClr val="lt1"/>
            </a:contourClr>
          </a:sp3d>
        </c:spPr>
      </c:pivotFmt>
      <c:pivotFmt>
        <c:idx val="9"/>
        <c:spPr>
          <a:solidFill>
            <a:schemeClr val="accent5">
              <a:shade val="44000"/>
            </a:schemeClr>
          </a:solidFill>
          <a:ln w="25400">
            <a:solidFill>
              <a:schemeClr val="lt1"/>
            </a:solidFill>
          </a:ln>
          <a:effectLst/>
          <a:sp3d contourW="25400">
            <a:contourClr>
              <a:schemeClr val="lt1"/>
            </a:contourClr>
          </a:sp3d>
        </c:spPr>
      </c:pivotFmt>
      <c:pivotFmt>
        <c:idx val="10"/>
        <c:spPr>
          <a:solidFill>
            <a:schemeClr val="accent5">
              <a:shade val="52000"/>
            </a:schemeClr>
          </a:solidFill>
          <a:ln w="25400">
            <a:solidFill>
              <a:schemeClr val="lt1"/>
            </a:solidFill>
          </a:ln>
          <a:effectLst/>
          <a:sp3d contourW="25400">
            <a:contourClr>
              <a:schemeClr val="lt1"/>
            </a:contourClr>
          </a:sp3d>
        </c:spPr>
      </c:pivotFmt>
      <c:pivotFmt>
        <c:idx val="11"/>
        <c:spPr>
          <a:solidFill>
            <a:schemeClr val="accent5">
              <a:shade val="59000"/>
            </a:schemeClr>
          </a:solidFill>
          <a:ln w="25400">
            <a:solidFill>
              <a:schemeClr val="lt1"/>
            </a:solidFill>
          </a:ln>
          <a:effectLst/>
          <a:sp3d contourW="25400">
            <a:contourClr>
              <a:schemeClr val="lt1"/>
            </a:contourClr>
          </a:sp3d>
        </c:spPr>
      </c:pivotFmt>
      <c:pivotFmt>
        <c:idx val="12"/>
        <c:spPr>
          <a:solidFill>
            <a:schemeClr val="accent5">
              <a:shade val="66000"/>
            </a:schemeClr>
          </a:solidFill>
          <a:ln w="25400">
            <a:solidFill>
              <a:schemeClr val="lt1"/>
            </a:solidFill>
          </a:ln>
          <a:effectLst/>
          <a:sp3d contourW="25400">
            <a:contourClr>
              <a:schemeClr val="lt1"/>
            </a:contourClr>
          </a:sp3d>
        </c:spPr>
      </c:pivotFmt>
      <c:pivotFmt>
        <c:idx val="13"/>
        <c:spPr>
          <a:solidFill>
            <a:schemeClr val="accent5">
              <a:shade val="74000"/>
            </a:schemeClr>
          </a:solidFill>
          <a:ln w="25400">
            <a:solidFill>
              <a:schemeClr val="lt1"/>
            </a:solidFill>
          </a:ln>
          <a:effectLst/>
          <a:sp3d contourW="25400">
            <a:contourClr>
              <a:schemeClr val="lt1"/>
            </a:contourClr>
          </a:sp3d>
        </c:spPr>
      </c:pivotFmt>
      <c:pivotFmt>
        <c:idx val="14"/>
        <c:spPr>
          <a:solidFill>
            <a:schemeClr val="accent5">
              <a:shade val="81000"/>
            </a:schemeClr>
          </a:solidFill>
          <a:ln w="25400">
            <a:solidFill>
              <a:schemeClr val="lt1"/>
            </a:solidFill>
          </a:ln>
          <a:effectLst/>
          <a:sp3d contourW="25400">
            <a:contourClr>
              <a:schemeClr val="lt1"/>
            </a:contourClr>
          </a:sp3d>
        </c:spPr>
      </c:pivotFmt>
      <c:pivotFmt>
        <c:idx val="15"/>
        <c:spPr>
          <a:solidFill>
            <a:schemeClr val="accent5">
              <a:shade val="88000"/>
            </a:schemeClr>
          </a:solidFill>
          <a:ln w="25400">
            <a:solidFill>
              <a:schemeClr val="lt1"/>
            </a:solidFill>
          </a:ln>
          <a:effectLst/>
          <a:sp3d contourW="25400">
            <a:contourClr>
              <a:schemeClr val="lt1"/>
            </a:contourClr>
          </a:sp3d>
        </c:spPr>
      </c:pivotFmt>
      <c:pivotFmt>
        <c:idx val="16"/>
        <c:spPr>
          <a:solidFill>
            <a:schemeClr val="accent5">
              <a:shade val="96000"/>
            </a:schemeClr>
          </a:solidFill>
          <a:ln w="25400">
            <a:solidFill>
              <a:schemeClr val="lt1"/>
            </a:solidFill>
          </a:ln>
          <a:effectLst/>
          <a:sp3d contourW="25400">
            <a:contourClr>
              <a:schemeClr val="lt1"/>
            </a:contourClr>
          </a:sp3d>
        </c:spPr>
      </c:pivotFmt>
      <c:pivotFmt>
        <c:idx val="17"/>
        <c:spPr>
          <a:solidFill>
            <a:schemeClr val="accent5">
              <a:tint val="97000"/>
            </a:schemeClr>
          </a:solidFill>
          <a:ln w="25400">
            <a:solidFill>
              <a:schemeClr val="lt1"/>
            </a:solidFill>
          </a:ln>
          <a:effectLst/>
          <a:sp3d contourW="25400">
            <a:contourClr>
              <a:schemeClr val="lt1"/>
            </a:contourClr>
          </a:sp3d>
        </c:spPr>
      </c:pivotFmt>
      <c:pivotFmt>
        <c:idx val="18"/>
        <c:spPr>
          <a:solidFill>
            <a:schemeClr val="accent5">
              <a:tint val="89000"/>
            </a:schemeClr>
          </a:solidFill>
          <a:ln w="25400">
            <a:solidFill>
              <a:schemeClr val="lt1"/>
            </a:solidFill>
          </a:ln>
          <a:effectLst/>
          <a:sp3d contourW="25400">
            <a:contourClr>
              <a:schemeClr val="lt1"/>
            </a:contourClr>
          </a:sp3d>
        </c:spPr>
      </c:pivotFmt>
      <c:pivotFmt>
        <c:idx val="19"/>
        <c:spPr>
          <a:solidFill>
            <a:schemeClr val="accent5">
              <a:tint val="82000"/>
            </a:schemeClr>
          </a:solidFill>
          <a:ln w="25400">
            <a:solidFill>
              <a:schemeClr val="lt1"/>
            </a:solidFill>
          </a:ln>
          <a:effectLst/>
          <a:sp3d contourW="25400">
            <a:contourClr>
              <a:schemeClr val="lt1"/>
            </a:contourClr>
          </a:sp3d>
        </c:spPr>
      </c:pivotFmt>
      <c:pivotFmt>
        <c:idx val="20"/>
        <c:spPr>
          <a:solidFill>
            <a:schemeClr val="accent5">
              <a:tint val="75000"/>
            </a:schemeClr>
          </a:solidFill>
          <a:ln w="25400">
            <a:solidFill>
              <a:schemeClr val="lt1"/>
            </a:solidFill>
          </a:ln>
          <a:effectLst/>
          <a:sp3d contourW="25400">
            <a:contourClr>
              <a:schemeClr val="lt1"/>
            </a:contourClr>
          </a:sp3d>
        </c:spPr>
      </c:pivotFmt>
      <c:pivotFmt>
        <c:idx val="21"/>
        <c:spPr>
          <a:solidFill>
            <a:schemeClr val="accent5">
              <a:tint val="67000"/>
            </a:schemeClr>
          </a:solidFill>
          <a:ln w="25400">
            <a:solidFill>
              <a:schemeClr val="lt1"/>
            </a:solidFill>
          </a:ln>
          <a:effectLst/>
          <a:sp3d contourW="25400">
            <a:contourClr>
              <a:schemeClr val="lt1"/>
            </a:contourClr>
          </a:sp3d>
        </c:spPr>
      </c:pivotFmt>
      <c:pivotFmt>
        <c:idx val="22"/>
        <c:spPr>
          <a:solidFill>
            <a:schemeClr val="accent5">
              <a:tint val="60000"/>
            </a:schemeClr>
          </a:solidFill>
          <a:ln w="25400">
            <a:solidFill>
              <a:schemeClr val="lt1"/>
            </a:solidFill>
          </a:ln>
          <a:effectLst/>
          <a:sp3d contourW="25400">
            <a:contourClr>
              <a:schemeClr val="lt1"/>
            </a:contourClr>
          </a:sp3d>
        </c:spPr>
      </c:pivotFmt>
      <c:pivotFmt>
        <c:idx val="23"/>
        <c:spPr>
          <a:solidFill>
            <a:schemeClr val="accent5">
              <a:tint val="53000"/>
            </a:schemeClr>
          </a:solidFill>
          <a:ln w="25400">
            <a:solidFill>
              <a:schemeClr val="lt1"/>
            </a:solidFill>
          </a:ln>
          <a:effectLst/>
          <a:sp3d contourW="25400">
            <a:contourClr>
              <a:schemeClr val="lt1"/>
            </a:contourClr>
          </a:sp3d>
        </c:spPr>
      </c:pivotFmt>
      <c:pivotFmt>
        <c:idx val="24"/>
        <c:spPr>
          <a:solidFill>
            <a:schemeClr val="accent5">
              <a:tint val="45000"/>
            </a:schemeClr>
          </a:solidFill>
          <a:ln w="25400">
            <a:solidFill>
              <a:schemeClr val="lt1"/>
            </a:solidFill>
          </a:ln>
          <a:effectLst/>
          <a:sp3d contourW="25400">
            <a:contourClr>
              <a:schemeClr val="lt1"/>
            </a:contourClr>
          </a:sp3d>
        </c:spPr>
      </c:pivotFmt>
      <c:pivotFmt>
        <c:idx val="25"/>
        <c:spPr>
          <a:solidFill>
            <a:schemeClr val="accent5">
              <a:tint val="38000"/>
            </a:schemeClr>
          </a:solidFill>
          <a:ln w="25400">
            <a:solidFill>
              <a:schemeClr val="lt1"/>
            </a:solidFill>
          </a:ln>
          <a:effectLst/>
          <a:sp3d contourW="25400">
            <a:contourClr>
              <a:schemeClr val="lt1"/>
            </a:contourClr>
          </a:sp3d>
        </c:spPr>
      </c:pivotFmt>
      <c:pivotFmt>
        <c:idx val="26"/>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shade val="37000"/>
            </a:schemeClr>
          </a:solidFill>
          <a:ln w="25400">
            <a:solidFill>
              <a:schemeClr val="lt1"/>
            </a:solidFill>
          </a:ln>
          <a:effectLst/>
          <a:sp3d contourW="25400">
            <a:contourClr>
              <a:schemeClr val="lt1"/>
            </a:contourClr>
          </a:sp3d>
        </c:spPr>
      </c:pivotFmt>
      <c:pivotFmt>
        <c:idx val="28"/>
        <c:spPr>
          <a:solidFill>
            <a:schemeClr val="accent5">
              <a:shade val="44000"/>
            </a:schemeClr>
          </a:solidFill>
          <a:ln w="25400">
            <a:solidFill>
              <a:schemeClr val="lt1"/>
            </a:solidFill>
          </a:ln>
          <a:effectLst/>
          <a:sp3d contourW="25400">
            <a:contourClr>
              <a:schemeClr val="lt1"/>
            </a:contourClr>
          </a:sp3d>
        </c:spPr>
      </c:pivotFmt>
      <c:pivotFmt>
        <c:idx val="29"/>
        <c:spPr>
          <a:solidFill>
            <a:schemeClr val="accent5">
              <a:shade val="52000"/>
            </a:schemeClr>
          </a:solidFill>
          <a:ln w="25400">
            <a:solidFill>
              <a:schemeClr val="lt1"/>
            </a:solidFill>
          </a:ln>
          <a:effectLst/>
          <a:sp3d contourW="25400">
            <a:contourClr>
              <a:schemeClr val="lt1"/>
            </a:contourClr>
          </a:sp3d>
        </c:spPr>
      </c:pivotFmt>
      <c:pivotFmt>
        <c:idx val="30"/>
        <c:spPr>
          <a:solidFill>
            <a:schemeClr val="accent5">
              <a:shade val="59000"/>
            </a:schemeClr>
          </a:solidFill>
          <a:ln w="25400">
            <a:solidFill>
              <a:schemeClr val="lt1"/>
            </a:solidFill>
          </a:ln>
          <a:effectLst/>
          <a:sp3d contourW="25400">
            <a:contourClr>
              <a:schemeClr val="lt1"/>
            </a:contourClr>
          </a:sp3d>
        </c:spPr>
      </c:pivotFmt>
      <c:pivotFmt>
        <c:idx val="31"/>
        <c:spPr>
          <a:solidFill>
            <a:schemeClr val="accent5">
              <a:shade val="66000"/>
            </a:schemeClr>
          </a:solidFill>
          <a:ln w="25400">
            <a:solidFill>
              <a:schemeClr val="lt1"/>
            </a:solidFill>
          </a:ln>
          <a:effectLst/>
          <a:sp3d contourW="25400">
            <a:contourClr>
              <a:schemeClr val="lt1"/>
            </a:contourClr>
          </a:sp3d>
        </c:spPr>
      </c:pivotFmt>
      <c:pivotFmt>
        <c:idx val="32"/>
        <c:spPr>
          <a:solidFill>
            <a:schemeClr val="accent5">
              <a:shade val="74000"/>
            </a:schemeClr>
          </a:solidFill>
          <a:ln w="25400">
            <a:solidFill>
              <a:schemeClr val="lt1"/>
            </a:solidFill>
          </a:ln>
          <a:effectLst/>
          <a:sp3d contourW="25400">
            <a:contourClr>
              <a:schemeClr val="lt1"/>
            </a:contourClr>
          </a:sp3d>
        </c:spPr>
      </c:pivotFmt>
      <c:pivotFmt>
        <c:idx val="33"/>
        <c:spPr>
          <a:solidFill>
            <a:schemeClr val="accent5">
              <a:shade val="81000"/>
            </a:schemeClr>
          </a:solidFill>
          <a:ln w="25400">
            <a:solidFill>
              <a:schemeClr val="lt1"/>
            </a:solidFill>
          </a:ln>
          <a:effectLst/>
          <a:sp3d contourW="25400">
            <a:contourClr>
              <a:schemeClr val="lt1"/>
            </a:contourClr>
          </a:sp3d>
        </c:spPr>
      </c:pivotFmt>
      <c:pivotFmt>
        <c:idx val="34"/>
        <c:spPr>
          <a:solidFill>
            <a:schemeClr val="accent5">
              <a:shade val="88000"/>
            </a:schemeClr>
          </a:solidFill>
          <a:ln w="25400">
            <a:solidFill>
              <a:schemeClr val="lt1"/>
            </a:solidFill>
          </a:ln>
          <a:effectLst/>
          <a:sp3d contourW="25400">
            <a:contourClr>
              <a:schemeClr val="lt1"/>
            </a:contourClr>
          </a:sp3d>
        </c:spPr>
      </c:pivotFmt>
      <c:pivotFmt>
        <c:idx val="35"/>
        <c:spPr>
          <a:solidFill>
            <a:schemeClr val="accent5">
              <a:shade val="96000"/>
            </a:schemeClr>
          </a:solidFill>
          <a:ln w="25400">
            <a:solidFill>
              <a:schemeClr val="lt1"/>
            </a:solidFill>
          </a:ln>
          <a:effectLst/>
          <a:sp3d contourW="25400">
            <a:contourClr>
              <a:schemeClr val="lt1"/>
            </a:contourClr>
          </a:sp3d>
        </c:spPr>
      </c:pivotFmt>
      <c:pivotFmt>
        <c:idx val="36"/>
        <c:spPr>
          <a:solidFill>
            <a:schemeClr val="accent5">
              <a:tint val="97000"/>
            </a:schemeClr>
          </a:solidFill>
          <a:ln w="25400">
            <a:solidFill>
              <a:schemeClr val="lt1"/>
            </a:solidFill>
          </a:ln>
          <a:effectLst/>
          <a:sp3d contourW="25400">
            <a:contourClr>
              <a:schemeClr val="lt1"/>
            </a:contourClr>
          </a:sp3d>
        </c:spPr>
      </c:pivotFmt>
      <c:pivotFmt>
        <c:idx val="37"/>
        <c:spPr>
          <a:solidFill>
            <a:schemeClr val="accent5">
              <a:tint val="89000"/>
            </a:schemeClr>
          </a:solidFill>
          <a:ln w="25400">
            <a:solidFill>
              <a:schemeClr val="lt1"/>
            </a:solidFill>
          </a:ln>
          <a:effectLst/>
          <a:sp3d contourW="25400">
            <a:contourClr>
              <a:schemeClr val="lt1"/>
            </a:contourClr>
          </a:sp3d>
        </c:spPr>
      </c:pivotFmt>
      <c:pivotFmt>
        <c:idx val="38"/>
        <c:spPr>
          <a:solidFill>
            <a:schemeClr val="accent5">
              <a:tint val="82000"/>
            </a:schemeClr>
          </a:solidFill>
          <a:ln w="25400">
            <a:solidFill>
              <a:schemeClr val="lt1"/>
            </a:solidFill>
          </a:ln>
          <a:effectLst/>
          <a:sp3d contourW="25400">
            <a:contourClr>
              <a:schemeClr val="lt1"/>
            </a:contourClr>
          </a:sp3d>
        </c:spPr>
      </c:pivotFmt>
      <c:pivotFmt>
        <c:idx val="39"/>
        <c:spPr>
          <a:solidFill>
            <a:schemeClr val="accent5">
              <a:tint val="75000"/>
            </a:schemeClr>
          </a:solidFill>
          <a:ln w="25400">
            <a:solidFill>
              <a:schemeClr val="lt1"/>
            </a:solidFill>
          </a:ln>
          <a:effectLst/>
          <a:sp3d contourW="25400">
            <a:contourClr>
              <a:schemeClr val="lt1"/>
            </a:contourClr>
          </a:sp3d>
        </c:spPr>
      </c:pivotFmt>
      <c:pivotFmt>
        <c:idx val="40"/>
        <c:spPr>
          <a:solidFill>
            <a:schemeClr val="accent5">
              <a:tint val="67000"/>
            </a:schemeClr>
          </a:solidFill>
          <a:ln w="25400">
            <a:solidFill>
              <a:schemeClr val="lt1"/>
            </a:solidFill>
          </a:ln>
          <a:effectLst/>
          <a:sp3d contourW="25400">
            <a:contourClr>
              <a:schemeClr val="lt1"/>
            </a:contourClr>
          </a:sp3d>
        </c:spPr>
      </c:pivotFmt>
      <c:pivotFmt>
        <c:idx val="41"/>
        <c:spPr>
          <a:solidFill>
            <a:schemeClr val="accent5">
              <a:tint val="60000"/>
            </a:schemeClr>
          </a:solidFill>
          <a:ln w="25400">
            <a:solidFill>
              <a:schemeClr val="lt1"/>
            </a:solidFill>
          </a:ln>
          <a:effectLst/>
          <a:sp3d contourW="25400">
            <a:contourClr>
              <a:schemeClr val="lt1"/>
            </a:contourClr>
          </a:sp3d>
        </c:spPr>
      </c:pivotFmt>
      <c:pivotFmt>
        <c:idx val="42"/>
        <c:spPr>
          <a:solidFill>
            <a:schemeClr val="accent5">
              <a:tint val="53000"/>
            </a:schemeClr>
          </a:solidFill>
          <a:ln w="25400">
            <a:solidFill>
              <a:schemeClr val="lt1"/>
            </a:solidFill>
          </a:ln>
          <a:effectLst/>
          <a:sp3d contourW="25400">
            <a:contourClr>
              <a:schemeClr val="lt1"/>
            </a:contourClr>
          </a:sp3d>
        </c:spPr>
      </c:pivotFmt>
      <c:pivotFmt>
        <c:idx val="43"/>
        <c:spPr>
          <a:solidFill>
            <a:schemeClr val="accent5">
              <a:tint val="45000"/>
            </a:schemeClr>
          </a:solidFill>
          <a:ln w="25400">
            <a:solidFill>
              <a:schemeClr val="lt1"/>
            </a:solidFill>
          </a:ln>
          <a:effectLst/>
          <a:sp3d contourW="25400">
            <a:contourClr>
              <a:schemeClr val="lt1"/>
            </a:contourClr>
          </a:sp3d>
        </c:spPr>
      </c:pivotFmt>
      <c:pivotFmt>
        <c:idx val="44"/>
        <c:spPr>
          <a:solidFill>
            <a:schemeClr val="accent5">
              <a:tint val="3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'best saftey rating'!$B$1</c:f>
              <c:strCache>
                <c:ptCount val="1"/>
                <c:pt idx="0">
                  <c:v>Total</c:v>
                </c:pt>
              </c:strCache>
            </c:strRef>
          </c:tx>
          <c:dPt>
            <c:idx val="0"/>
            <c:bubble3D val="0"/>
            <c:spPr>
              <a:solidFill>
                <a:schemeClr val="accent5">
                  <a:shade val="3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2114-43DB-9F01-07F625B19E41}"/>
              </c:ext>
            </c:extLst>
          </c:dPt>
          <c:dPt>
            <c:idx val="1"/>
            <c:bubble3D val="0"/>
            <c:spPr>
              <a:solidFill>
                <a:schemeClr val="accent5">
                  <a:shade val="4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2114-43DB-9F01-07F625B19E41}"/>
              </c:ext>
            </c:extLst>
          </c:dPt>
          <c:dPt>
            <c:idx val="2"/>
            <c:bubble3D val="0"/>
            <c:spPr>
              <a:solidFill>
                <a:schemeClr val="accent5">
                  <a:shade val="52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2114-43DB-9F01-07F625B19E41}"/>
              </c:ext>
            </c:extLst>
          </c:dPt>
          <c:dPt>
            <c:idx val="3"/>
            <c:bubble3D val="0"/>
            <c:spPr>
              <a:solidFill>
                <a:schemeClr val="accent5">
                  <a:shade val="59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2114-43DB-9F01-07F625B19E41}"/>
              </c:ext>
            </c:extLst>
          </c:dPt>
          <c:dPt>
            <c:idx val="4"/>
            <c:bubble3D val="0"/>
            <c:spPr>
              <a:solidFill>
                <a:schemeClr val="accent5">
                  <a:shade val="6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2114-43DB-9F01-07F625B19E41}"/>
              </c:ext>
            </c:extLst>
          </c:dPt>
          <c:dPt>
            <c:idx val="5"/>
            <c:bubble3D val="0"/>
            <c:spPr>
              <a:solidFill>
                <a:schemeClr val="accent5">
                  <a:shade val="7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2114-43DB-9F01-07F625B19E41}"/>
              </c:ext>
            </c:extLst>
          </c:dPt>
          <c:dPt>
            <c:idx val="6"/>
            <c:bubble3D val="0"/>
            <c:spPr>
              <a:solidFill>
                <a:schemeClr val="accent5">
                  <a:shade val="81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114-43DB-9F01-07F625B19E41}"/>
              </c:ext>
            </c:extLst>
          </c:dPt>
          <c:dPt>
            <c:idx val="7"/>
            <c:bubble3D val="0"/>
            <c:spPr>
              <a:solidFill>
                <a:schemeClr val="accent5">
                  <a:shade val="8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114-43DB-9F01-07F625B19E41}"/>
              </c:ext>
            </c:extLst>
          </c:dPt>
          <c:dPt>
            <c:idx val="8"/>
            <c:bubble3D val="0"/>
            <c:spPr>
              <a:solidFill>
                <a:schemeClr val="accent5">
                  <a:shade val="9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114-43DB-9F01-07F625B19E41}"/>
              </c:ext>
            </c:extLst>
          </c:dPt>
          <c:dPt>
            <c:idx val="9"/>
            <c:bubble3D val="0"/>
            <c:spPr>
              <a:solidFill>
                <a:schemeClr val="accent5">
                  <a:tint val="9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2114-43DB-9F01-07F625B19E41}"/>
              </c:ext>
            </c:extLst>
          </c:dPt>
          <c:dPt>
            <c:idx val="10"/>
            <c:bubble3D val="0"/>
            <c:spPr>
              <a:solidFill>
                <a:schemeClr val="accent5">
                  <a:tint val="89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2114-43DB-9F01-07F625B19E41}"/>
              </c:ext>
            </c:extLst>
          </c:dPt>
          <c:dPt>
            <c:idx val="11"/>
            <c:bubble3D val="0"/>
            <c:spPr>
              <a:solidFill>
                <a:schemeClr val="accent5">
                  <a:tint val="82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2114-43DB-9F01-07F625B19E41}"/>
              </c:ext>
            </c:extLst>
          </c:dPt>
          <c:dPt>
            <c:idx val="12"/>
            <c:bubble3D val="0"/>
            <c:spPr>
              <a:solidFill>
                <a:schemeClr val="accent5">
                  <a:tint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2114-43DB-9F01-07F625B19E41}"/>
              </c:ext>
            </c:extLst>
          </c:dPt>
          <c:dPt>
            <c:idx val="13"/>
            <c:bubble3D val="0"/>
            <c:spPr>
              <a:solidFill>
                <a:schemeClr val="accent5">
                  <a:tint val="6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2114-43DB-9F01-07F625B19E41}"/>
              </c:ext>
            </c:extLst>
          </c:dPt>
          <c:dPt>
            <c:idx val="14"/>
            <c:bubble3D val="0"/>
            <c:spPr>
              <a:solidFill>
                <a:schemeClr val="accent5">
                  <a:tint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2114-43DB-9F01-07F625B19E41}"/>
              </c:ext>
            </c:extLst>
          </c:dPt>
          <c:dPt>
            <c:idx val="15"/>
            <c:bubble3D val="0"/>
            <c:spPr>
              <a:solidFill>
                <a:schemeClr val="accent5">
                  <a:tint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2114-43DB-9F01-07F625B19E41}"/>
              </c:ext>
            </c:extLst>
          </c:dPt>
          <c:dPt>
            <c:idx val="16"/>
            <c:bubble3D val="0"/>
            <c:spPr>
              <a:solidFill>
                <a:schemeClr val="accent5">
                  <a:tint val="4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2114-43DB-9F01-07F625B19E41}"/>
              </c:ext>
            </c:extLst>
          </c:dPt>
          <c:dPt>
            <c:idx val="17"/>
            <c:bubble3D val="0"/>
            <c:spPr>
              <a:solidFill>
                <a:schemeClr val="accent5">
                  <a:tint val="3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2114-43DB-9F01-07F625B19E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'best saftey rating'!$A$2:$A$20</c:f>
              <c:strCache>
                <c:ptCount val="18"/>
                <c:pt idx="0">
                  <c:v>Aston Martin DB11</c:v>
                </c:pt>
                <c:pt idx="1">
                  <c:v>Aston Martin Vantage</c:v>
                </c:pt>
                <c:pt idx="2">
                  <c:v>Audi RS5</c:v>
                </c:pt>
                <c:pt idx="3">
                  <c:v>Audi S5 Sportback</c:v>
                </c:pt>
                <c:pt idx="4">
                  <c:v>Bentley Bentayga</c:v>
                </c:pt>
                <c:pt idx="5">
                  <c:v>BMW 7 Series</c:v>
                </c:pt>
                <c:pt idx="6">
                  <c:v>BYD Atto 3</c:v>
                </c:pt>
                <c:pt idx="7">
                  <c:v>Defender</c:v>
                </c:pt>
                <c:pt idx="8">
                  <c:v>Ferrari 296 GTS</c:v>
                </c:pt>
                <c:pt idx="9">
                  <c:v>Ferrari Purosangue SUV</c:v>
                </c:pt>
                <c:pt idx="10">
                  <c:v>Jaguar F-Pace</c:v>
                </c:pt>
                <c:pt idx="11">
                  <c:v>Jeep Compass</c:v>
                </c:pt>
                <c:pt idx="12">
                  <c:v>Kia Carnival</c:v>
                </c:pt>
                <c:pt idx="13">
                  <c:v>Lamborghini Revuelto</c:v>
                </c:pt>
                <c:pt idx="14">
                  <c:v>Lexus ES</c:v>
                </c:pt>
                <c:pt idx="15">
                  <c:v>Mahindra XUV700</c:v>
                </c:pt>
                <c:pt idx="16">
                  <c:v>Maserati Quattroporte</c:v>
                </c:pt>
                <c:pt idx="17">
                  <c:v>McLaren 720S</c:v>
                </c:pt>
              </c:strCache>
            </c:strRef>
          </c:cat>
          <c:val>
            <c:numRef>
              <c:f>'best saftey rating'!$B$2:$B$20</c:f>
              <c:numCache>
                <c:formatCode>General</c:formatCode>
                <c:ptCount val="18"/>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numCache>
            </c:numRef>
          </c:val>
          <c:extLst>
            <c:ext xmlns:c16="http://schemas.microsoft.com/office/drawing/2014/chart" uri="{C3380CC4-5D6E-409C-BE32-E72D297353CC}">
              <c16:uniqueId val="{00000024-2114-43DB-9F01-07F625B19E4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1.xlsx]best saler brand!PivotTable1</c:name>
    <c:fmtId val="7"/>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BEST</a:t>
            </a:r>
            <a:r>
              <a:rPr lang="en-US" baseline="0">
                <a:solidFill>
                  <a:schemeClr val="tx1"/>
                </a:solidFill>
              </a:rPr>
              <a:t> SALER BRAND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5">
                  <a:shade val="42000"/>
                  <a:shade val="51000"/>
                  <a:satMod val="130000"/>
                </a:schemeClr>
              </a:gs>
              <a:gs pos="80000">
                <a:schemeClr val="accent5">
                  <a:shade val="42000"/>
                  <a:shade val="93000"/>
                  <a:satMod val="130000"/>
                </a:schemeClr>
              </a:gs>
              <a:gs pos="100000">
                <a:schemeClr val="accent5">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5">
                  <a:shade val="55000"/>
                  <a:shade val="51000"/>
                  <a:satMod val="130000"/>
                </a:schemeClr>
              </a:gs>
              <a:gs pos="80000">
                <a:schemeClr val="accent5">
                  <a:shade val="55000"/>
                  <a:shade val="93000"/>
                  <a:satMod val="130000"/>
                </a:schemeClr>
              </a:gs>
              <a:gs pos="100000">
                <a:schemeClr val="accent5">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5">
                  <a:shade val="68000"/>
                  <a:shade val="51000"/>
                  <a:satMod val="130000"/>
                </a:schemeClr>
              </a:gs>
              <a:gs pos="80000">
                <a:schemeClr val="accent5">
                  <a:shade val="68000"/>
                  <a:shade val="93000"/>
                  <a:satMod val="130000"/>
                </a:schemeClr>
              </a:gs>
              <a:gs pos="100000">
                <a:schemeClr val="accent5">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5">
                  <a:shade val="80000"/>
                  <a:shade val="51000"/>
                  <a:satMod val="130000"/>
                </a:schemeClr>
              </a:gs>
              <a:gs pos="80000">
                <a:schemeClr val="accent5">
                  <a:shade val="80000"/>
                  <a:shade val="93000"/>
                  <a:satMod val="130000"/>
                </a:schemeClr>
              </a:gs>
              <a:gs pos="100000">
                <a:schemeClr val="accent5">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5">
                  <a:shade val="93000"/>
                  <a:shade val="51000"/>
                  <a:satMod val="130000"/>
                </a:schemeClr>
              </a:gs>
              <a:gs pos="80000">
                <a:schemeClr val="accent5">
                  <a:shade val="93000"/>
                  <a:shade val="93000"/>
                  <a:satMod val="130000"/>
                </a:schemeClr>
              </a:gs>
              <a:gs pos="100000">
                <a:schemeClr val="accent5">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5">
                  <a:tint val="94000"/>
                  <a:shade val="51000"/>
                  <a:satMod val="130000"/>
                </a:schemeClr>
              </a:gs>
              <a:gs pos="80000">
                <a:schemeClr val="accent5">
                  <a:tint val="94000"/>
                  <a:shade val="93000"/>
                  <a:satMod val="130000"/>
                </a:schemeClr>
              </a:gs>
              <a:gs pos="100000">
                <a:schemeClr val="accent5">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5">
                  <a:tint val="81000"/>
                  <a:shade val="51000"/>
                  <a:satMod val="130000"/>
                </a:schemeClr>
              </a:gs>
              <a:gs pos="80000">
                <a:schemeClr val="accent5">
                  <a:tint val="81000"/>
                  <a:shade val="93000"/>
                  <a:satMod val="130000"/>
                </a:schemeClr>
              </a:gs>
              <a:gs pos="100000">
                <a:schemeClr val="accent5">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5">
                  <a:tint val="69000"/>
                  <a:shade val="51000"/>
                  <a:satMod val="130000"/>
                </a:schemeClr>
              </a:gs>
              <a:gs pos="80000">
                <a:schemeClr val="accent5">
                  <a:tint val="69000"/>
                  <a:shade val="93000"/>
                  <a:satMod val="130000"/>
                </a:schemeClr>
              </a:gs>
              <a:gs pos="100000">
                <a:schemeClr val="accent5">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5">
                  <a:tint val="56000"/>
                  <a:shade val="51000"/>
                  <a:satMod val="130000"/>
                </a:schemeClr>
              </a:gs>
              <a:gs pos="80000">
                <a:schemeClr val="accent5">
                  <a:tint val="56000"/>
                  <a:shade val="93000"/>
                  <a:satMod val="130000"/>
                </a:schemeClr>
              </a:gs>
              <a:gs pos="100000">
                <a:schemeClr val="accent5">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5">
                  <a:tint val="43000"/>
                  <a:shade val="51000"/>
                  <a:satMod val="130000"/>
                </a:schemeClr>
              </a:gs>
              <a:gs pos="80000">
                <a:schemeClr val="accent5">
                  <a:tint val="43000"/>
                  <a:shade val="93000"/>
                  <a:satMod val="130000"/>
                </a:schemeClr>
              </a:gs>
              <a:gs pos="100000">
                <a:schemeClr val="accent5">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'best saler brand'!$B$1</c:f>
              <c:strCache>
                <c:ptCount val="1"/>
                <c:pt idx="0">
                  <c:v>Total</c:v>
                </c:pt>
              </c:strCache>
            </c:strRef>
          </c:tx>
          <c:dPt>
            <c:idx val="0"/>
            <c:bubble3D val="0"/>
            <c:spPr>
              <a:gradFill rotWithShape="1">
                <a:gsLst>
                  <a:gs pos="0">
                    <a:schemeClr val="accent5">
                      <a:shade val="42000"/>
                      <a:shade val="51000"/>
                      <a:satMod val="130000"/>
                    </a:schemeClr>
                  </a:gs>
                  <a:gs pos="80000">
                    <a:schemeClr val="accent5">
                      <a:shade val="42000"/>
                      <a:shade val="93000"/>
                      <a:satMod val="130000"/>
                    </a:schemeClr>
                  </a:gs>
                  <a:gs pos="100000">
                    <a:schemeClr val="accent5">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775-4890-A268-D51D05D1F7EC}"/>
              </c:ext>
            </c:extLst>
          </c:dPt>
          <c:dPt>
            <c:idx val="1"/>
            <c:bubble3D val="0"/>
            <c:spPr>
              <a:gradFill rotWithShape="1">
                <a:gsLst>
                  <a:gs pos="0">
                    <a:schemeClr val="accent5">
                      <a:shade val="55000"/>
                      <a:shade val="51000"/>
                      <a:satMod val="130000"/>
                    </a:schemeClr>
                  </a:gs>
                  <a:gs pos="80000">
                    <a:schemeClr val="accent5">
                      <a:shade val="55000"/>
                      <a:shade val="93000"/>
                      <a:satMod val="130000"/>
                    </a:schemeClr>
                  </a:gs>
                  <a:gs pos="100000">
                    <a:schemeClr val="accent5">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775-4890-A268-D51D05D1F7EC}"/>
              </c:ext>
            </c:extLst>
          </c:dPt>
          <c:dPt>
            <c:idx val="2"/>
            <c:bubble3D val="0"/>
            <c:spPr>
              <a:gradFill rotWithShape="1">
                <a:gsLst>
                  <a:gs pos="0">
                    <a:schemeClr val="accent5">
                      <a:shade val="68000"/>
                      <a:shade val="51000"/>
                      <a:satMod val="130000"/>
                    </a:schemeClr>
                  </a:gs>
                  <a:gs pos="80000">
                    <a:schemeClr val="accent5">
                      <a:shade val="68000"/>
                      <a:shade val="93000"/>
                      <a:satMod val="130000"/>
                    </a:schemeClr>
                  </a:gs>
                  <a:gs pos="100000">
                    <a:schemeClr val="accent5">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775-4890-A268-D51D05D1F7EC}"/>
              </c:ext>
            </c:extLst>
          </c:dPt>
          <c:dPt>
            <c:idx val="3"/>
            <c:bubble3D val="0"/>
            <c:spPr>
              <a:gradFill rotWithShape="1">
                <a:gsLst>
                  <a:gs pos="0">
                    <a:schemeClr val="accent5">
                      <a:shade val="80000"/>
                      <a:shade val="51000"/>
                      <a:satMod val="130000"/>
                    </a:schemeClr>
                  </a:gs>
                  <a:gs pos="80000">
                    <a:schemeClr val="accent5">
                      <a:shade val="80000"/>
                      <a:shade val="93000"/>
                      <a:satMod val="130000"/>
                    </a:schemeClr>
                  </a:gs>
                  <a:gs pos="100000">
                    <a:schemeClr val="accent5">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775-4890-A268-D51D05D1F7EC}"/>
              </c:ext>
            </c:extLst>
          </c:dPt>
          <c:dPt>
            <c:idx val="4"/>
            <c:bubble3D val="0"/>
            <c:spPr>
              <a:gradFill rotWithShape="1">
                <a:gsLst>
                  <a:gs pos="0">
                    <a:schemeClr val="accent5">
                      <a:shade val="93000"/>
                      <a:shade val="51000"/>
                      <a:satMod val="130000"/>
                    </a:schemeClr>
                  </a:gs>
                  <a:gs pos="80000">
                    <a:schemeClr val="accent5">
                      <a:shade val="93000"/>
                      <a:shade val="93000"/>
                      <a:satMod val="130000"/>
                    </a:schemeClr>
                  </a:gs>
                  <a:gs pos="100000">
                    <a:schemeClr val="accent5">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775-4890-A268-D51D05D1F7EC}"/>
              </c:ext>
            </c:extLst>
          </c:dPt>
          <c:dPt>
            <c:idx val="5"/>
            <c:bubble3D val="0"/>
            <c:spPr>
              <a:gradFill rotWithShape="1">
                <a:gsLst>
                  <a:gs pos="0">
                    <a:schemeClr val="accent5">
                      <a:tint val="94000"/>
                      <a:shade val="51000"/>
                      <a:satMod val="130000"/>
                    </a:schemeClr>
                  </a:gs>
                  <a:gs pos="80000">
                    <a:schemeClr val="accent5">
                      <a:tint val="94000"/>
                      <a:shade val="93000"/>
                      <a:satMod val="130000"/>
                    </a:schemeClr>
                  </a:gs>
                  <a:gs pos="100000">
                    <a:schemeClr val="accent5">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3775-4890-A268-D51D05D1F7EC}"/>
              </c:ext>
            </c:extLst>
          </c:dPt>
          <c:dPt>
            <c:idx val="6"/>
            <c:bubble3D val="0"/>
            <c:spPr>
              <a:gradFill rotWithShape="1">
                <a:gsLst>
                  <a:gs pos="0">
                    <a:schemeClr val="accent5">
                      <a:tint val="81000"/>
                      <a:shade val="51000"/>
                      <a:satMod val="130000"/>
                    </a:schemeClr>
                  </a:gs>
                  <a:gs pos="80000">
                    <a:schemeClr val="accent5">
                      <a:tint val="81000"/>
                      <a:shade val="93000"/>
                      <a:satMod val="130000"/>
                    </a:schemeClr>
                  </a:gs>
                  <a:gs pos="100000">
                    <a:schemeClr val="accent5">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3775-4890-A268-D51D05D1F7EC}"/>
              </c:ext>
            </c:extLst>
          </c:dPt>
          <c:dPt>
            <c:idx val="7"/>
            <c:bubble3D val="0"/>
            <c:spPr>
              <a:gradFill rotWithShape="1">
                <a:gsLst>
                  <a:gs pos="0">
                    <a:schemeClr val="accent5">
                      <a:tint val="69000"/>
                      <a:shade val="51000"/>
                      <a:satMod val="130000"/>
                    </a:schemeClr>
                  </a:gs>
                  <a:gs pos="80000">
                    <a:schemeClr val="accent5">
                      <a:tint val="69000"/>
                      <a:shade val="93000"/>
                      <a:satMod val="130000"/>
                    </a:schemeClr>
                  </a:gs>
                  <a:gs pos="100000">
                    <a:schemeClr val="accent5">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3775-4890-A268-D51D05D1F7EC}"/>
              </c:ext>
            </c:extLst>
          </c:dPt>
          <c:dPt>
            <c:idx val="8"/>
            <c:bubble3D val="0"/>
            <c:spPr>
              <a:gradFill rotWithShape="1">
                <a:gsLst>
                  <a:gs pos="0">
                    <a:schemeClr val="accent5">
                      <a:tint val="56000"/>
                      <a:shade val="51000"/>
                      <a:satMod val="130000"/>
                    </a:schemeClr>
                  </a:gs>
                  <a:gs pos="80000">
                    <a:schemeClr val="accent5">
                      <a:tint val="56000"/>
                      <a:shade val="93000"/>
                      <a:satMod val="130000"/>
                    </a:schemeClr>
                  </a:gs>
                  <a:gs pos="100000">
                    <a:schemeClr val="accent5">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3775-4890-A268-D51D05D1F7EC}"/>
              </c:ext>
            </c:extLst>
          </c:dPt>
          <c:dPt>
            <c:idx val="9"/>
            <c:bubble3D val="0"/>
            <c:spPr>
              <a:gradFill rotWithShape="1">
                <a:gsLst>
                  <a:gs pos="0">
                    <a:schemeClr val="accent5">
                      <a:tint val="43000"/>
                      <a:shade val="51000"/>
                      <a:satMod val="130000"/>
                    </a:schemeClr>
                  </a:gs>
                  <a:gs pos="80000">
                    <a:schemeClr val="accent5">
                      <a:tint val="43000"/>
                      <a:shade val="93000"/>
                      <a:satMod val="130000"/>
                    </a:schemeClr>
                  </a:gs>
                  <a:gs pos="100000">
                    <a:schemeClr val="accent5">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3775-4890-A268-D51D05D1F7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'best saler brand'!$A$2:$A$12</c:f>
              <c:strCache>
                <c:ptCount val="10"/>
                <c:pt idx="0">
                  <c:v>BMW</c:v>
                </c:pt>
                <c:pt idx="1">
                  <c:v>Honda</c:v>
                </c:pt>
                <c:pt idx="2">
                  <c:v>Hyundai</c:v>
                </c:pt>
                <c:pt idx="3">
                  <c:v>Kia</c:v>
                </c:pt>
                <c:pt idx="4">
                  <c:v>Mahindra</c:v>
                </c:pt>
                <c:pt idx="5">
                  <c:v>Maruti Suzuki</c:v>
                </c:pt>
                <c:pt idx="6">
                  <c:v>Mercedes-Benz</c:v>
                </c:pt>
                <c:pt idx="7">
                  <c:v>Skoda</c:v>
                </c:pt>
                <c:pt idx="8">
                  <c:v>Tata</c:v>
                </c:pt>
                <c:pt idx="9">
                  <c:v>Toyota</c:v>
                </c:pt>
              </c:strCache>
            </c:strRef>
          </c:cat>
          <c:val>
            <c:numRef>
              <c:f>'best saler brand'!$B$2:$B$12</c:f>
              <c:numCache>
                <c:formatCode>General</c:formatCode>
                <c:ptCount val="10"/>
                <c:pt idx="0">
                  <c:v>67283</c:v>
                </c:pt>
                <c:pt idx="1">
                  <c:v>116871</c:v>
                </c:pt>
                <c:pt idx="2">
                  <c:v>728246</c:v>
                </c:pt>
                <c:pt idx="3">
                  <c:v>305960</c:v>
                </c:pt>
                <c:pt idx="4">
                  <c:v>881254</c:v>
                </c:pt>
                <c:pt idx="5">
                  <c:v>1960059</c:v>
                </c:pt>
                <c:pt idx="6">
                  <c:v>553276</c:v>
                </c:pt>
                <c:pt idx="7">
                  <c:v>66663</c:v>
                </c:pt>
                <c:pt idx="8">
                  <c:v>916644</c:v>
                </c:pt>
                <c:pt idx="9">
                  <c:v>412830</c:v>
                </c:pt>
              </c:numCache>
            </c:numRef>
          </c:val>
          <c:extLst>
            <c:ext xmlns:c16="http://schemas.microsoft.com/office/drawing/2014/chart" uri="{C3380CC4-5D6E-409C-BE32-E72D297353CC}">
              <c16:uniqueId val="{00000014-3775-4890-A268-D51D05D1F7EC}"/>
            </c:ext>
          </c:extLst>
        </c:ser>
        <c:dLbls>
          <c:dLblPos val="bestFit"/>
          <c:showLegendKey val="0"/>
          <c:showVal val="1"/>
          <c:showCatName val="0"/>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 top 10 brands!PivotTable1</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10 Brands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top 10 brands'!$B$1</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 top 10 brands'!$A$2:$A$35</c:f>
              <c:strCache>
                <c:ptCount val="33"/>
                <c:pt idx="0">
                  <c:v>Aston Martin</c:v>
                </c:pt>
                <c:pt idx="1">
                  <c:v>Audi</c:v>
                </c:pt>
                <c:pt idx="2">
                  <c:v>Bentley</c:v>
                </c:pt>
                <c:pt idx="3">
                  <c:v>BMW</c:v>
                </c:pt>
                <c:pt idx="4">
                  <c:v>BYD</c:v>
                </c:pt>
                <c:pt idx="5">
                  <c:v>Citroen</c:v>
                </c:pt>
                <c:pt idx="6">
                  <c:v>Ferrari</c:v>
                </c:pt>
                <c:pt idx="7">
                  <c:v>Force Motors</c:v>
                </c:pt>
                <c:pt idx="8">
                  <c:v>Honda</c:v>
                </c:pt>
                <c:pt idx="9">
                  <c:v>Hyundai</c:v>
                </c:pt>
                <c:pt idx="10">
                  <c:v>Isuzu</c:v>
                </c:pt>
                <c:pt idx="11">
                  <c:v>Jaguar</c:v>
                </c:pt>
                <c:pt idx="12">
                  <c:v>Jeep</c:v>
                </c:pt>
                <c:pt idx="13">
                  <c:v>Kia</c:v>
                </c:pt>
                <c:pt idx="14">
                  <c:v>Lamborghini</c:v>
                </c:pt>
                <c:pt idx="15">
                  <c:v>Land Rover</c:v>
                </c:pt>
                <c:pt idx="16">
                  <c:v>Lexus</c:v>
                </c:pt>
                <c:pt idx="17">
                  <c:v>Lotus</c:v>
                </c:pt>
                <c:pt idx="18">
                  <c:v>Mahindra</c:v>
                </c:pt>
                <c:pt idx="19">
                  <c:v>Maruti Suzuki</c:v>
                </c:pt>
                <c:pt idx="20">
                  <c:v>Maserati</c:v>
                </c:pt>
                <c:pt idx="21">
                  <c:v>McLaren</c:v>
                </c:pt>
                <c:pt idx="22">
                  <c:v>Mercedes-Benz</c:v>
                </c:pt>
                <c:pt idx="23">
                  <c:v>MG</c:v>
                </c:pt>
                <c:pt idx="24">
                  <c:v>MINI</c:v>
                </c:pt>
                <c:pt idx="25">
                  <c:v>Nissan</c:v>
                </c:pt>
                <c:pt idx="26">
                  <c:v>Porsche</c:v>
                </c:pt>
                <c:pt idx="27">
                  <c:v>Renault</c:v>
                </c:pt>
                <c:pt idx="28">
                  <c:v>Rolls-Royce</c:v>
                </c:pt>
                <c:pt idx="29">
                  <c:v>Skoda</c:v>
                </c:pt>
                <c:pt idx="30">
                  <c:v>Tata</c:v>
                </c:pt>
                <c:pt idx="31">
                  <c:v>Toyota</c:v>
                </c:pt>
                <c:pt idx="32">
                  <c:v>Volvo</c:v>
                </c:pt>
              </c:strCache>
            </c:strRef>
          </c:cat>
          <c:val>
            <c:numRef>
              <c:f>' top 10 brands'!$B$2:$B$35</c:f>
              <c:numCache>
                <c:formatCode>General</c:formatCode>
                <c:ptCount val="33"/>
                <c:pt idx="0">
                  <c:v>5</c:v>
                </c:pt>
                <c:pt idx="1">
                  <c:v>16</c:v>
                </c:pt>
                <c:pt idx="2">
                  <c:v>1</c:v>
                </c:pt>
                <c:pt idx="3">
                  <c:v>22</c:v>
                </c:pt>
                <c:pt idx="4">
                  <c:v>4</c:v>
                </c:pt>
                <c:pt idx="5">
                  <c:v>5</c:v>
                </c:pt>
                <c:pt idx="6">
                  <c:v>6</c:v>
                </c:pt>
                <c:pt idx="7">
                  <c:v>2</c:v>
                </c:pt>
                <c:pt idx="8">
                  <c:v>5</c:v>
                </c:pt>
                <c:pt idx="9">
                  <c:v>14</c:v>
                </c:pt>
                <c:pt idx="10">
                  <c:v>2</c:v>
                </c:pt>
                <c:pt idx="11">
                  <c:v>1</c:v>
                </c:pt>
                <c:pt idx="12">
                  <c:v>4</c:v>
                </c:pt>
                <c:pt idx="13">
                  <c:v>8</c:v>
                </c:pt>
                <c:pt idx="14">
                  <c:v>3</c:v>
                </c:pt>
                <c:pt idx="15">
                  <c:v>7</c:v>
                </c:pt>
                <c:pt idx="16">
                  <c:v>5</c:v>
                </c:pt>
                <c:pt idx="17">
                  <c:v>3</c:v>
                </c:pt>
                <c:pt idx="18">
                  <c:v>13</c:v>
                </c:pt>
                <c:pt idx="19">
                  <c:v>18</c:v>
                </c:pt>
                <c:pt idx="20">
                  <c:v>6</c:v>
                </c:pt>
                <c:pt idx="21">
                  <c:v>3</c:v>
                </c:pt>
                <c:pt idx="22">
                  <c:v>33</c:v>
                </c:pt>
                <c:pt idx="23">
                  <c:v>7</c:v>
                </c:pt>
                <c:pt idx="24">
                  <c:v>4</c:v>
                </c:pt>
                <c:pt idx="25">
                  <c:v>2</c:v>
                </c:pt>
                <c:pt idx="26">
                  <c:v>7</c:v>
                </c:pt>
                <c:pt idx="27">
                  <c:v>3</c:v>
                </c:pt>
                <c:pt idx="28">
                  <c:v>3</c:v>
                </c:pt>
                <c:pt idx="29">
                  <c:v>4</c:v>
                </c:pt>
                <c:pt idx="30">
                  <c:v>16</c:v>
                </c:pt>
                <c:pt idx="31">
                  <c:v>12</c:v>
                </c:pt>
                <c:pt idx="32">
                  <c:v>4</c:v>
                </c:pt>
              </c:numCache>
            </c:numRef>
          </c:val>
          <c:extLst>
            <c:ext xmlns:c16="http://schemas.microsoft.com/office/drawing/2014/chart" uri="{C3380CC4-5D6E-409C-BE32-E72D297353CC}">
              <c16:uniqueId val="{00000000-DE62-43D5-B709-3304A710F386}"/>
            </c:ext>
          </c:extLst>
        </c:ser>
        <c:dLbls>
          <c:showLegendKey val="0"/>
          <c:showVal val="0"/>
          <c:showCatName val="0"/>
          <c:showSerName val="0"/>
          <c:showPercent val="0"/>
          <c:showBubbleSize val="0"/>
        </c:dLbls>
        <c:gapWidth val="269"/>
        <c:overlap val="-20"/>
        <c:axId val="1145931759"/>
        <c:axId val="1145936079"/>
      </c:barChart>
      <c:catAx>
        <c:axId val="1145931759"/>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45936079"/>
        <c:crosses val="autoZero"/>
        <c:auto val="1"/>
        <c:lblAlgn val="ctr"/>
        <c:lblOffset val="100"/>
        <c:noMultiLvlLbl val="0"/>
      </c:catAx>
      <c:valAx>
        <c:axId val="1145936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5931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hyperlink" Target="https://www.wisc-online.com/assetrepository/viewasset?id=964" TargetMode="External"/><Relationship Id="rId1" Type="http://schemas.openxmlformats.org/officeDocument/2006/relationships/image" Target="../media/image1.jpe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0]!brands">
      <xdr:nvGraphicFramePr>
        <xdr:cNvPr id="2" name="Chart 1">
          <a:extLst>
            <a:ext uri="{FF2B5EF4-FFF2-40B4-BE49-F238E27FC236}">
              <a16:creationId xmlns:a16="http://schemas.microsoft.com/office/drawing/2014/main" id="{0E07BDB5-680E-8668-82B7-BCE814692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205740</xdr:colOff>
      <xdr:row>6</xdr:row>
      <xdr:rowOff>41910</xdr:rowOff>
    </xdr:from>
    <xdr:to>
      <xdr:col>12</xdr:col>
      <xdr:colOff>510540</xdr:colOff>
      <xdr:row>21</xdr:row>
      <xdr:rowOff>41910</xdr:rowOff>
    </xdr:to>
    <xdr:graphicFrame macro="[0]!best_mil">
      <xdr:nvGraphicFramePr>
        <xdr:cNvPr id="3" name="Chart 2">
          <a:extLst>
            <a:ext uri="{FF2B5EF4-FFF2-40B4-BE49-F238E27FC236}">
              <a16:creationId xmlns:a16="http://schemas.microsoft.com/office/drawing/2014/main" id="{B3750F1F-4991-F9AF-F459-619AC9E00D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0]!best_rated">
      <xdr:nvGraphicFramePr>
        <xdr:cNvPr id="2" name="Chart 1">
          <a:extLst>
            <a:ext uri="{FF2B5EF4-FFF2-40B4-BE49-F238E27FC236}">
              <a16:creationId xmlns:a16="http://schemas.microsoft.com/office/drawing/2014/main" id="{DE390014-A412-4E36-93A2-0F621A900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289560</xdr:colOff>
      <xdr:row>3</xdr:row>
      <xdr:rowOff>15240</xdr:rowOff>
    </xdr:from>
    <xdr:to>
      <xdr:col>13</xdr:col>
      <xdr:colOff>434340</xdr:colOff>
      <xdr:row>17</xdr:row>
      <xdr:rowOff>7620</xdr:rowOff>
    </xdr:to>
    <xdr:graphicFrame macro="[0]!best_safety">
      <xdr:nvGraphicFramePr>
        <xdr:cNvPr id="2" name="Chart 1">
          <a:extLst>
            <a:ext uri="{FF2B5EF4-FFF2-40B4-BE49-F238E27FC236}">
              <a16:creationId xmlns:a16="http://schemas.microsoft.com/office/drawing/2014/main" id="{447272E3-60F5-93AA-B570-0C6085F62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0]!best_saler">
      <xdr:nvGraphicFramePr>
        <xdr:cNvPr id="2" name="Chart 1">
          <a:extLst>
            <a:ext uri="{FF2B5EF4-FFF2-40B4-BE49-F238E27FC236}">
              <a16:creationId xmlns:a16="http://schemas.microsoft.com/office/drawing/2014/main" id="{099E99B4-5AE2-1552-784F-EC35CDD72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22411</xdr:rowOff>
    </xdr:from>
    <xdr:to>
      <xdr:col>31</xdr:col>
      <xdr:colOff>304800</xdr:colOff>
      <xdr:row>58</xdr:row>
      <xdr:rowOff>7620</xdr:rowOff>
    </xdr:to>
    <xdr:pic macro="[0]!best_safety">
      <xdr:nvPicPr>
        <xdr:cNvPr id="7" name="Picture 6">
          <a:extLst>
            <a:ext uri="{FF2B5EF4-FFF2-40B4-BE49-F238E27FC236}">
              <a16:creationId xmlns:a16="http://schemas.microsoft.com/office/drawing/2014/main" id="{24D0EE64-4911-AE27-16D4-68D2433B94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22411"/>
          <a:ext cx="19202400" cy="10706549"/>
        </a:xfrm>
        <a:prstGeom prst="rect">
          <a:avLst/>
        </a:prstGeom>
      </xdr:spPr>
    </xdr:pic>
    <xdr:clientData/>
  </xdr:twoCellAnchor>
  <xdr:oneCellAnchor>
    <xdr:from>
      <xdr:col>0</xdr:col>
      <xdr:colOff>0</xdr:colOff>
      <xdr:row>31</xdr:row>
      <xdr:rowOff>63788</xdr:rowOff>
    </xdr:from>
    <xdr:ext cx="14945808" cy="257606"/>
    <xdr:sp macro="" textlink="">
      <xdr:nvSpPr>
        <xdr:cNvPr id="8" name="TextBox 7">
          <a:extLst>
            <a:ext uri="{FF2B5EF4-FFF2-40B4-BE49-F238E27FC236}">
              <a16:creationId xmlns:a16="http://schemas.microsoft.com/office/drawing/2014/main" id="{1BF5BB0D-85D3-B630-7C0D-2020956D6BFC}"/>
            </a:ext>
          </a:extLst>
        </xdr:cNvPr>
        <xdr:cNvSpPr txBox="1"/>
      </xdr:nvSpPr>
      <xdr:spPr>
        <a:xfrm>
          <a:off x="0" y="5741435"/>
          <a:ext cx="14945808" cy="2576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a:p>
          <a:endParaRPr lang="en-IN" sz="900"/>
        </a:p>
      </xdr:txBody>
    </xdr:sp>
    <xdr:clientData/>
  </xdr:oneCellAnchor>
  <xdr:twoCellAnchor>
    <xdr:from>
      <xdr:col>12</xdr:col>
      <xdr:colOff>36605</xdr:colOff>
      <xdr:row>1</xdr:row>
      <xdr:rowOff>104290</xdr:rowOff>
    </xdr:from>
    <xdr:to>
      <xdr:col>20</xdr:col>
      <xdr:colOff>320040</xdr:colOff>
      <xdr:row>11</xdr:row>
      <xdr:rowOff>158528</xdr:rowOff>
    </xdr:to>
    <xdr:graphicFrame macro="[0]!best_mil">
      <xdr:nvGraphicFramePr>
        <xdr:cNvPr id="3" name="Chart 2">
          <a:extLst>
            <a:ext uri="{FF2B5EF4-FFF2-40B4-BE49-F238E27FC236}">
              <a16:creationId xmlns:a16="http://schemas.microsoft.com/office/drawing/2014/main" id="{948FA7C6-3865-4C6A-A7DC-E2AD4B0B7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37353</xdr:colOff>
      <xdr:row>12</xdr:row>
      <xdr:rowOff>52291</xdr:rowOff>
    </xdr:from>
    <xdr:to>
      <xdr:col>20</xdr:col>
      <xdr:colOff>313765</xdr:colOff>
      <xdr:row>24</xdr:row>
      <xdr:rowOff>171823</xdr:rowOff>
    </xdr:to>
    <xdr:graphicFrame macro="[0]!best_rated">
      <xdr:nvGraphicFramePr>
        <xdr:cNvPr id="5" name="Chart 4">
          <a:extLst>
            <a:ext uri="{FF2B5EF4-FFF2-40B4-BE49-F238E27FC236}">
              <a16:creationId xmlns:a16="http://schemas.microsoft.com/office/drawing/2014/main" id="{51F8CC7D-8D07-450D-9F25-AD842BA7D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67234</xdr:rowOff>
    </xdr:from>
    <xdr:to>
      <xdr:col>5</xdr:col>
      <xdr:colOff>463176</xdr:colOff>
      <xdr:row>23</xdr:row>
      <xdr:rowOff>9412</xdr:rowOff>
    </xdr:to>
    <xdr:graphicFrame macro="">
      <xdr:nvGraphicFramePr>
        <xdr:cNvPr id="6" name="Chart 5">
          <a:extLst>
            <a:ext uri="{FF2B5EF4-FFF2-40B4-BE49-F238E27FC236}">
              <a16:creationId xmlns:a16="http://schemas.microsoft.com/office/drawing/2014/main" id="{53EE0613-DD54-49CA-A30F-4402AC3860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0</xdr:rowOff>
    </xdr:from>
    <xdr:to>
      <xdr:col>32</xdr:col>
      <xdr:colOff>167640</xdr:colOff>
      <xdr:row>1</xdr:row>
      <xdr:rowOff>14941</xdr:rowOff>
    </xdr:to>
    <xdr:sp macro="" textlink="">
      <xdr:nvSpPr>
        <xdr:cNvPr id="9" name="Rectangle 8">
          <a:extLst>
            <a:ext uri="{FF2B5EF4-FFF2-40B4-BE49-F238E27FC236}">
              <a16:creationId xmlns:a16="http://schemas.microsoft.com/office/drawing/2014/main" id="{88CD9062-F996-A46A-1D9B-B8F28579D11C}"/>
            </a:ext>
          </a:extLst>
        </xdr:cNvPr>
        <xdr:cNvSpPr/>
      </xdr:nvSpPr>
      <xdr:spPr>
        <a:xfrm>
          <a:off x="0" y="0"/>
          <a:ext cx="19674840" cy="31212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1800" b="1" baseline="0"/>
            <a:t>                                                                                                                          CARS STATS REPORT</a:t>
          </a:r>
          <a:endParaRPr lang="en-IN" sz="1800" b="1"/>
        </a:p>
      </xdr:txBody>
    </xdr:sp>
    <xdr:clientData/>
  </xdr:twoCellAnchor>
  <xdr:twoCellAnchor>
    <xdr:from>
      <xdr:col>6</xdr:col>
      <xdr:colOff>366061</xdr:colOff>
      <xdr:row>13</xdr:row>
      <xdr:rowOff>29882</xdr:rowOff>
    </xdr:from>
    <xdr:to>
      <xdr:col>11</xdr:col>
      <xdr:colOff>552825</xdr:colOff>
      <xdr:row>23</xdr:row>
      <xdr:rowOff>61259</xdr:rowOff>
    </xdr:to>
    <xdr:graphicFrame macro="">
      <xdr:nvGraphicFramePr>
        <xdr:cNvPr id="10" name="Chart 9">
          <a:extLst>
            <a:ext uri="{FF2B5EF4-FFF2-40B4-BE49-F238E27FC236}">
              <a16:creationId xmlns:a16="http://schemas.microsoft.com/office/drawing/2014/main" id="{C0CA281E-6DA9-4D17-B599-5321F531A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108473</xdr:colOff>
      <xdr:row>1</xdr:row>
      <xdr:rowOff>149411</xdr:rowOff>
    </xdr:from>
    <xdr:to>
      <xdr:col>1</xdr:col>
      <xdr:colOff>575236</xdr:colOff>
      <xdr:row>12</xdr:row>
      <xdr:rowOff>97117</xdr:rowOff>
    </xdr:to>
    <mc:AlternateContent xmlns:mc="http://schemas.openxmlformats.org/markup-compatibility/2006" xmlns:a14="http://schemas.microsoft.com/office/drawing/2010/main">
      <mc:Choice Requires="a14">
        <xdr:graphicFrame macro="">
          <xdr:nvGraphicFramePr>
            <xdr:cNvPr id="11" name="Brand">
              <a:extLst>
                <a:ext uri="{FF2B5EF4-FFF2-40B4-BE49-F238E27FC236}">
                  <a16:creationId xmlns:a16="http://schemas.microsoft.com/office/drawing/2014/main" id="{E191289C-DF39-EB2F-3A92-7E3CA4B626F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08473" y="446591"/>
              <a:ext cx="1076363" cy="1959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268942</xdr:colOff>
      <xdr:row>2</xdr:row>
      <xdr:rowOff>0</xdr:rowOff>
    </xdr:from>
    <xdr:to>
      <xdr:col>11</xdr:col>
      <xdr:colOff>567765</xdr:colOff>
      <xdr:row>12</xdr:row>
      <xdr:rowOff>14942</xdr:rowOff>
    </xdr:to>
    <mc:AlternateContent xmlns:mc="http://schemas.openxmlformats.org/markup-compatibility/2006" xmlns:a14="http://schemas.microsoft.com/office/drawing/2010/main">
      <mc:Choice Requires="a14">
        <xdr:graphicFrame macro="">
          <xdr:nvGraphicFramePr>
            <xdr:cNvPr id="13" name="Car Name">
              <a:extLst>
                <a:ext uri="{FF2B5EF4-FFF2-40B4-BE49-F238E27FC236}">
                  <a16:creationId xmlns:a16="http://schemas.microsoft.com/office/drawing/2014/main" id="{E0BCB054-BC2F-AE9D-06B2-27EFB8330C33}"/>
                </a:ext>
              </a:extLst>
            </xdr:cNvPr>
            <xdr:cNvGraphicFramePr/>
          </xdr:nvGraphicFramePr>
          <xdr:xfrm>
            <a:off x="0" y="0"/>
            <a:ext cx="0" cy="0"/>
          </xdr:xfrm>
          <a:graphic>
            <a:graphicData uri="http://schemas.microsoft.com/office/drawing/2010/slicer">
              <sle:slicer xmlns:sle="http://schemas.microsoft.com/office/drawing/2010/slicer" name="Car Name"/>
            </a:graphicData>
          </a:graphic>
        </xdr:graphicFrame>
      </mc:Choice>
      <mc:Fallback xmlns="">
        <xdr:sp macro="" textlink="">
          <xdr:nvSpPr>
            <xdr:cNvPr id="0" name=""/>
            <xdr:cNvSpPr>
              <a:spLocks noTextEdit="1"/>
            </xdr:cNvSpPr>
          </xdr:nvSpPr>
          <xdr:spPr>
            <a:xfrm>
              <a:off x="5755342" y="480060"/>
              <a:ext cx="1518023" cy="1843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592716</xdr:colOff>
      <xdr:row>1</xdr:row>
      <xdr:rowOff>166891</xdr:rowOff>
    </xdr:from>
    <xdr:to>
      <xdr:col>22</xdr:col>
      <xdr:colOff>606462</xdr:colOff>
      <xdr:row>24</xdr:row>
      <xdr:rowOff>88600</xdr:rowOff>
    </xdr:to>
    <mc:AlternateContent xmlns:mc="http://schemas.openxmlformats.org/markup-compatibility/2006" xmlns:a14="http://schemas.microsoft.com/office/drawing/2010/main">
      <mc:Choice Requires="a14">
        <xdr:graphicFrame macro="">
          <xdr:nvGraphicFramePr>
            <xdr:cNvPr id="14" name="Car Name 1">
              <a:extLst>
                <a:ext uri="{FF2B5EF4-FFF2-40B4-BE49-F238E27FC236}">
                  <a16:creationId xmlns:a16="http://schemas.microsoft.com/office/drawing/2014/main" id="{E0F0D5EE-CAE7-04B9-297A-97118D1E246B}"/>
                </a:ext>
              </a:extLst>
            </xdr:cNvPr>
            <xdr:cNvGraphicFramePr/>
          </xdr:nvGraphicFramePr>
          <xdr:xfrm>
            <a:off x="0" y="0"/>
            <a:ext cx="0" cy="0"/>
          </xdr:xfrm>
          <a:graphic>
            <a:graphicData uri="http://schemas.microsoft.com/office/drawing/2010/slicer">
              <sle:slicer xmlns:sle="http://schemas.microsoft.com/office/drawing/2010/slicer" name="Car Name 1"/>
            </a:graphicData>
          </a:graphic>
        </xdr:graphicFrame>
      </mc:Choice>
      <mc:Fallback xmlns="">
        <xdr:sp macro="" textlink="">
          <xdr:nvSpPr>
            <xdr:cNvPr id="0" name=""/>
            <xdr:cNvSpPr>
              <a:spLocks noTextEdit="1"/>
            </xdr:cNvSpPr>
          </xdr:nvSpPr>
          <xdr:spPr>
            <a:xfrm>
              <a:off x="12784716" y="464071"/>
              <a:ext cx="1232946" cy="4127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23</xdr:row>
      <xdr:rowOff>15240</xdr:rowOff>
    </xdr:from>
    <xdr:to>
      <xdr:col>4</xdr:col>
      <xdr:colOff>160020</xdr:colOff>
      <xdr:row>27</xdr:row>
      <xdr:rowOff>114300</xdr:rowOff>
    </xdr:to>
    <mc:AlternateContent xmlns:mc="http://schemas.openxmlformats.org/markup-compatibility/2006" xmlns:a14="http://schemas.microsoft.com/office/drawing/2010/main">
      <mc:Choice Requires="a14">
        <xdr:graphicFrame macro="">
          <xdr:nvGraphicFramePr>
            <xdr:cNvPr id="16" name="Brand 1">
              <a:extLst>
                <a:ext uri="{FF2B5EF4-FFF2-40B4-BE49-F238E27FC236}">
                  <a16:creationId xmlns:a16="http://schemas.microsoft.com/office/drawing/2014/main" id="{2E751749-2246-BAE1-EA86-C6D5E09648F6}"/>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52400" y="4335780"/>
              <a:ext cx="2446020" cy="83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464820</xdr:colOff>
      <xdr:row>23</xdr:row>
      <xdr:rowOff>114300</xdr:rowOff>
    </xdr:from>
    <xdr:to>
      <xdr:col>10</xdr:col>
      <xdr:colOff>236220</xdr:colOff>
      <xdr:row>33</xdr:row>
      <xdr:rowOff>38100</xdr:rowOff>
    </xdr:to>
    <mc:AlternateContent xmlns:mc="http://schemas.openxmlformats.org/markup-compatibility/2006">
      <mc:Choice xmlns:a14="http://schemas.microsoft.com/office/drawing/2010/main" Requires="a14">
        <xdr:graphicFrame macro="">
          <xdr:nvGraphicFramePr>
            <xdr:cNvPr id="17" name="Brand 2">
              <a:extLst>
                <a:ext uri="{FF2B5EF4-FFF2-40B4-BE49-F238E27FC236}">
                  <a16:creationId xmlns:a16="http://schemas.microsoft.com/office/drawing/2014/main" id="{C9C1885D-B006-4B7B-18AB-E826298DB5CF}"/>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dr:sp macro="" textlink="">
          <xdr:nvSpPr>
            <xdr:cNvPr id="0" name=""/>
            <xdr:cNvSpPr>
              <a:spLocks noTextEdit="1"/>
            </xdr:cNvSpPr>
          </xdr:nvSpPr>
          <xdr:spPr>
            <a:xfrm>
              <a:off x="4122420" y="4434840"/>
              <a:ext cx="2209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152400</xdr:colOff>
      <xdr:row>1</xdr:row>
      <xdr:rowOff>144779</xdr:rowOff>
    </xdr:from>
    <xdr:to>
      <xdr:col>9</xdr:col>
      <xdr:colOff>38100</xdr:colOff>
      <xdr:row>12</xdr:row>
      <xdr:rowOff>76200</xdr:rowOff>
    </xdr:to>
    <xdr:graphicFrame macro="[0]!brands">
      <xdr:nvGraphicFramePr>
        <xdr:cNvPr id="18" name="Chart 17">
          <a:extLst>
            <a:ext uri="{FF2B5EF4-FFF2-40B4-BE49-F238E27FC236}">
              <a16:creationId xmlns:a16="http://schemas.microsoft.com/office/drawing/2014/main" id="{AEAA2FCA-07A6-47A3-8FB8-0D2E50050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ol" refreshedDate="45854.596076273148" createdVersion="8" refreshedVersion="8" minRefreshableVersion="3" recordCount="248" xr:uid="{2D5D4425-1025-47BF-9693-06684190C07A}">
  <cacheSource type="worksheet">
    <worksheetSource ref="A1:F249" sheet="Processed_Data"/>
  </cacheSource>
  <cacheFields count="6">
    <cacheField name="Brand" numFmtId="0">
      <sharedItems count="33">
        <s v="Maruti Suzuki"/>
        <s v="Mahindra"/>
        <s v="Tata"/>
        <s v="Hyundai"/>
        <s v="Toyota"/>
        <s v="Kia"/>
        <s v="BMW"/>
        <s v="Skoda"/>
        <s v="Mercedes-Benz"/>
        <s v="Honda"/>
        <s v="MG"/>
        <s v="Land Rover"/>
        <s v="Renault"/>
        <s v="Citroen"/>
        <s v="Jeep"/>
        <s v="Audi"/>
        <s v="Nissan"/>
        <s v="BYD"/>
        <s v="Volvo"/>
        <s v="Porsche"/>
        <s v="Lexus"/>
        <s v="Lamborghini"/>
        <s v="Jaguar"/>
        <s v="Rolls-Royce"/>
        <s v="MINI"/>
        <s v="Ferrari"/>
        <s v="Force Motors"/>
        <s v="Isuzu"/>
        <s v="Maserati"/>
        <s v="Aston Martin"/>
        <s v="Bentley"/>
        <s v="McLaren"/>
        <s v="Lotus"/>
      </sharedItems>
    </cacheField>
    <cacheField name="Car Name" numFmtId="0">
      <sharedItems count="248">
        <s v="Maruti Brezza"/>
        <s v="Maruti Fronx"/>
        <s v="Maruti Swift"/>
        <s v="Maruti Dzire"/>
        <s v="Maruti Baleno"/>
        <s v="Maruti Grand Vitara"/>
        <s v="Maruti Wagon R"/>
        <s v="Maruti Alto K10"/>
        <s v="Maruti Ertiga"/>
        <s v="Maruti XL6"/>
        <s v="Maruti Celerio"/>
        <s v="Maruti Jimny"/>
        <s v="Maruti Ignis"/>
        <s v="Maruti S-Presso"/>
        <s v="Maruti Ciaz"/>
        <s v="Maruti Eeco"/>
        <s v="Maruti Invicto"/>
        <s v="Maruti Wagon R Flex Fuel"/>
        <s v="Mahindra Scorpio N"/>
        <s v="Mahindra XUV 3XO"/>
        <s v="Mahindra XUV700"/>
        <s v="Mahindra BE 6"/>
        <s v="Mahindra Thar Roxx"/>
        <s v="Mahindra Thar"/>
        <s v="Mahindra XEV 9e"/>
        <s v="Mahindra Scorpio"/>
        <s v="Mahindra Bolero"/>
        <s v="Mahindra Bolero Neo"/>
        <s v="Mahindra Bolero Neo Plus"/>
        <s v="Mahindra XUV400"/>
        <s v="Mahindra Marazzo"/>
        <s v="Tata Harrier EV"/>
        <s v="Tata Altroz"/>
        <s v="Tata Nexon"/>
        <s v="Tata Punch"/>
        <s v="Tata Harrier"/>
        <s v="Tata Tiago"/>
        <s v="Tata Curvv"/>
        <s v="Tata Safari"/>
        <s v="Tata Curvv EV"/>
        <s v="Tata Nexon EV"/>
        <s v="Tata Punch EV"/>
        <s v="Tata Tiago EV"/>
        <s v="Tata Tigor"/>
        <s v="Tata Tigor EV"/>
        <s v="Tata Tiago NRG"/>
        <s v="Tata Harrier EV Stealth"/>
        <s v="Hyundai Creta"/>
        <s v="Hyundai Exter"/>
        <s v="Hyundai Venue"/>
        <s v="Hyundai Grand i10 Nios"/>
        <s v="Hyundai Verna"/>
        <s v="Hyundai i20"/>
        <s v="Hyundai Aura"/>
        <s v="Hyundai Alcazar"/>
        <s v="Hyundai Tucson"/>
        <s v="Hyundai Creta Electric"/>
        <s v="Hyundai i20 N Line"/>
        <s v="Hyundai Creta N Line"/>
        <s v="Hyundai Ioniq 5"/>
        <s v="Hyundai Venue N Line"/>
        <s v="Toyota Urban Cruiser Hyryder"/>
        <s v="Toyota Urban Cruiser Taisor"/>
        <s v="Toyota Glanza"/>
        <s v="Toyota Fortuner"/>
        <s v="Toyota Innova Crysta"/>
        <s v="Toyota Innova Hycross"/>
        <s v="Toyota Vellfire"/>
        <s v="Toyota Hilux"/>
        <s v="Toyota Camry"/>
        <s v="Toyota Fortuner Legender"/>
        <s v="Toyota Rumion"/>
        <s v="Toyota Land Cruiser"/>
        <s v="Kia Seltos"/>
        <s v="Kia Sonet"/>
        <s v="Kia Carens Clavis"/>
        <s v="Kia Carens"/>
        <s v="Kia Syros"/>
        <s v="Kia Carnival"/>
        <s v="Kia EV6"/>
        <s v="Kia EV9"/>
        <s v="BMW 3 Series LWB"/>
        <s v="BMW 5 Series"/>
        <s v="BMW X5"/>
        <s v="BMW M5"/>
        <s v="BMW X1"/>
        <s v="BMW X3"/>
        <s v="BMW M340i"/>
        <s v="BMW X7"/>
        <s v="BMW M4"/>
        <s v="BMW 7 Series"/>
        <s v="BMW 2 Series Gran Coupe"/>
        <s v="BMW Z4"/>
        <s v="BMW M8"/>
        <s v="BMW M2"/>
        <s v="BMW iX1 LWB"/>
        <s v="BMW XM"/>
        <s v="BMW i4"/>
        <s v="BMW i7"/>
        <s v="BMW iX1"/>
        <s v="BMW X4 M40i"/>
        <s v="BMW iX"/>
        <s v="BMW i5"/>
        <s v="Skoda Kylaq"/>
        <s v="Skoda Slavia"/>
        <s v="Skoda Kushaq"/>
        <s v="Skoda Kodiaq"/>
        <s v="Mercedes-Benz A-Class Limousine"/>
        <s v="Mercedes-Benz G-Class"/>
        <s v="Mercedes-Benz GLC"/>
        <s v="Mercedes-Benz GLA"/>
        <s v="Mercedes-Benz C-Class"/>
        <s v="Mercedes-Benz E-Class"/>
        <s v="Mercedes-Benz GLS"/>
        <s v="Mercedes-Benz Maybach S-Class"/>
        <s v="Mercedes-Benz GLE"/>
        <s v="Mercedes-Benz S-Class"/>
        <s v="Mercedes-Benz Maybach GLS"/>
        <s v="Mercedes-Benz AMG GLC43 Coupe"/>
        <s v="Mercedes-Benz EQB"/>
        <s v="Mercedes-Benz CLE cabriolet"/>
        <s v="Mercedes-Benz EQA"/>
        <s v="Mercedes-Benz EQS"/>
        <s v="Mercedes-Benz AMG G-Class"/>
        <s v="Mercedes-Benz G580 with EQ technology"/>
        <s v="Mercedes-Benz Maybach SL 680"/>
        <s v="Mercedes-Benz AMG GLA35"/>
        <s v="Mercedes-Benz AMG C 43"/>
        <s v="Mercedes-Benz EQS SUV"/>
        <s v="Mercedes-Benz AMG SL55 Roadster"/>
        <s v="Mercedes-Benz AMG A45 S"/>
        <s v="Mercedes-Benz AMG GT 63 S E Performance"/>
        <s v="Mercedes-Benz AMG GLE Coupe"/>
        <s v="Mercedes-Benz AMG E53 Cabriolet"/>
        <s v="Mercedes-Benz Maybach EQS SUV"/>
        <s v="Mercedes-Benz EQE SUV"/>
        <s v="Mercedes-Benz AMG S 63 E Performance"/>
        <s v="Mercedes-Benz AMG GT 63 S 4MATIC Plus"/>
        <s v="Mercedes-Benz AMG C 63 S E Performance"/>
        <s v="Mercedes-Benz AMG EQS"/>
        <s v="Honda Elevate"/>
        <s v="Honda City"/>
        <s v="Honda Amaze"/>
        <s v="Honda Amaze 2nd Gen"/>
        <s v="Honda City Hybrid eHEV"/>
        <s v="MG Windsor EV"/>
        <s v="MG Hector"/>
        <s v="MG Comet EV"/>
        <s v="MG ZS EV"/>
        <s v="MG Astor"/>
        <s v="MG Hector Plus"/>
        <s v="MG Gloster"/>
        <s v="Defender"/>
        <s v="Range Rover Velar"/>
        <s v="Range Rover Sport"/>
        <s v="Range Rover"/>
        <s v="Range Rover Evoque"/>
        <s v="Discovery Sport"/>
        <s v="Discovery"/>
        <s v="Renault Triber"/>
        <s v="Renault Kwid"/>
        <s v="Renault Kiger"/>
        <s v="Citroen C3"/>
        <s v="Citroen Basalt"/>
        <s v="Citroen Aircross"/>
        <s v="Citroen eC3"/>
        <s v="Citroen C5 Aircross"/>
        <s v="Jeep Compass"/>
        <s v="Jeep Meridian"/>
        <s v="Jeep Wrangler"/>
        <s v="Jeep Grand Cherokee"/>
        <s v="Audi Q3"/>
        <s v="Audi A4"/>
        <s v="Audi A6"/>
        <s v="Audi Q7"/>
        <s v="Audi Q5"/>
        <s v="Audi S5 Sportback"/>
        <s v="Audi Q8"/>
        <s v="Audi e-tron GT"/>
        <s v="Audi Q3 Sportback"/>
        <s v="Audi RS5"/>
        <s v="Audi RS Q8 Performance"/>
        <s v="Audi A8 L"/>
        <s v="Audi Q8 Sportback e-tron"/>
        <s v="Audi Q8 e-tron"/>
        <s v="Audi e-tron Sportback"/>
        <s v="Audi e-tron"/>
        <s v="Nissan Magnite"/>
        <s v="Nissan X-Trail"/>
        <s v="BYD Atto 3"/>
        <s v="BYD Seal"/>
        <s v="BYD Sealion 7"/>
        <s v="BYD eMax 7"/>
        <s v="Volvo XC60"/>
        <s v="Volvo EX40"/>
        <s v="Volvo XC90"/>
        <s v="Volvo EC40"/>
        <s v="Porsche 911"/>
        <s v="Porsche Cayenne"/>
        <s v="Porsche Macan"/>
        <s v="Porsche Panamera"/>
        <s v="Porsche Taycan"/>
        <s v="Porsche Cayenne Coupe"/>
        <s v="Porsche Macan Turbo EV"/>
        <s v="Lexus ES"/>
        <s v="Lexus LX"/>
        <s v="Lexus NX"/>
        <s v="Lexus LM"/>
        <s v="Lexus RX"/>
        <s v="Lamborghini Urus SE"/>
        <s v="Lamborghini Temerario"/>
        <s v="Lamborghini Revuelto"/>
        <s v="Jaguar F-Pace"/>
        <s v="Rolls-Royce Phantom"/>
        <s v="Rolls-Royce Cullinan"/>
        <s v="Rolls-Royce Spectre"/>
        <s v="MINI Cooper"/>
        <s v="MINI Countryman"/>
        <s v="MINI Cooper SE"/>
        <s v="MINI Countryman Electric"/>
        <s v="Ferrari Purosangue SUV"/>
        <s v="Ferrari 296 GTB"/>
        <s v="Ferrari Roma"/>
        <s v="Ferrari F8 Tributo"/>
        <s v="Ferrari Portofino"/>
        <s v="Ferrari 296 GTS"/>
        <s v="Force Motors Gurkha"/>
        <s v="Force Motors Trax Cruiser"/>
        <s v="Isuzu V-Cross"/>
        <s v="Isuzu MU-X"/>
        <s v="Maserati Ghibli"/>
        <s v="Maserati MC20"/>
        <s v="Maserati Levante"/>
        <s v="Maserati Quattroporte"/>
        <s v="Maserati Grecale"/>
        <s v="Maserati GranTurismo"/>
        <s v="Aston Martin Vanquish"/>
        <s v="Aston Martin DB11"/>
        <s v="Aston Martin Vantage"/>
        <s v="Aston Martin DBX"/>
        <s v="Aston Martin DB12"/>
        <s v="Bentley Bentayga"/>
        <s v="McLaren 750S"/>
        <s v="McLaren 720S"/>
        <s v="McLaren GT"/>
        <s v="Lotus Eletre"/>
        <s v="Lotus Emira"/>
        <s v="Lotus Emeya"/>
      </sharedItems>
    </cacheField>
    <cacheField name="Avg Mileage" numFmtId="0">
      <sharedItems containsSemiMixedTypes="0" containsString="0" containsNumber="1" minValue="5" maxValue="75"/>
    </cacheField>
    <cacheField name="Numeric Rating" numFmtId="0">
      <sharedItems containsSemiMixedTypes="0" containsString="0" containsNumber="1" minValue="2.6" maxValue="4.9000000000000004"/>
    </cacheField>
    <cacheField name="Safety Rating" numFmtId="0">
      <sharedItems containsSemiMixedTypes="0" containsString="0" containsNumber="1" containsInteger="1" minValue="1" maxValue="5" count="5">
        <n v="4"/>
        <n v="3"/>
        <n v="2"/>
        <n v="5"/>
        <n v="1"/>
      </sharedItems>
    </cacheField>
    <cacheField name="Sales" numFmtId="0">
      <sharedItems containsSemiMixedTypes="0" containsString="0" containsNumber="1" containsInteger="1" minValue="10" maxValue="200177"/>
    </cacheField>
  </cacheFields>
  <extLst>
    <ext xmlns:x14="http://schemas.microsoft.com/office/spreadsheetml/2009/9/main" uri="{725AE2AE-9491-48be-B2B4-4EB974FC3084}">
      <x14:pivotCacheDefinition pivotCacheId="11375924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x v="0"/>
    <x v="0"/>
    <n v="21"/>
    <n v="4.5"/>
    <x v="0"/>
    <n v="169897"/>
  </r>
  <r>
    <x v="0"/>
    <x v="1"/>
    <n v="24"/>
    <n v="4.5999999999999996"/>
    <x v="1"/>
    <n v="134735"/>
  </r>
  <r>
    <x v="0"/>
    <x v="2"/>
    <n v="28"/>
    <n v="4.5999999999999996"/>
    <x v="2"/>
    <n v="195321"/>
  </r>
  <r>
    <x v="0"/>
    <x v="3"/>
    <n v="28.5"/>
    <n v="4.7"/>
    <x v="3"/>
    <n v="164517"/>
  </r>
  <r>
    <x v="0"/>
    <x v="4"/>
    <n v="26"/>
    <n v="4.5"/>
    <x v="0"/>
    <n v="195607"/>
  </r>
  <r>
    <x v="0"/>
    <x v="5"/>
    <n v="23"/>
    <n v="4.5"/>
    <x v="3"/>
    <n v="121169"/>
  </r>
  <r>
    <x v="0"/>
    <x v="6"/>
    <n v="28.5"/>
    <n v="4.5"/>
    <x v="4"/>
    <n v="200177"/>
  </r>
  <r>
    <x v="0"/>
    <x v="7"/>
    <n v="28.5"/>
    <n v="4.5999999999999996"/>
    <x v="2"/>
    <n v="111955"/>
  </r>
  <r>
    <x v="0"/>
    <x v="8"/>
    <n v="23"/>
    <n v="4.5999999999999996"/>
    <x v="1"/>
    <n v="149757"/>
  </r>
  <r>
    <x v="0"/>
    <x v="9"/>
    <n v="23"/>
    <n v="4.4000000000000004"/>
    <x v="1"/>
    <n v="45334"/>
  </r>
  <r>
    <x v="0"/>
    <x v="10"/>
    <n v="29.5"/>
    <n v="4.4000000000000004"/>
    <x v="2"/>
    <n v="39931"/>
  </r>
  <r>
    <x v="0"/>
    <x v="11"/>
    <n v="16"/>
    <n v="3.5"/>
    <x v="1"/>
    <n v="17009"/>
  </r>
  <r>
    <x v="0"/>
    <x v="12"/>
    <n v="20"/>
    <n v="4.7"/>
    <x v="1"/>
    <n v="32463"/>
  </r>
  <r>
    <x v="0"/>
    <x v="13"/>
    <n v="28"/>
    <n v="4.4000000000000004"/>
    <x v="4"/>
    <n v="30139"/>
  </r>
  <r>
    <x v="0"/>
    <x v="14"/>
    <n v="24"/>
    <n v="4.3"/>
    <x v="0"/>
    <n v="10337"/>
  </r>
  <r>
    <x v="0"/>
    <x v="15"/>
    <n v="22.5"/>
    <n v="4.5999999999999996"/>
    <x v="4"/>
    <n v="137139"/>
  </r>
  <r>
    <x v="0"/>
    <x v="16"/>
    <n v="23"/>
    <n v="4.5999999999999996"/>
    <x v="3"/>
    <n v="4395"/>
  </r>
  <r>
    <x v="0"/>
    <x v="17"/>
    <n v="24"/>
    <n v="4.5"/>
    <x v="2"/>
    <n v="200177"/>
  </r>
  <r>
    <x v="1"/>
    <x v="18"/>
    <n v="15.94"/>
    <n v="4.7"/>
    <x v="3"/>
    <n v="141462"/>
  </r>
  <r>
    <x v="1"/>
    <x v="19"/>
    <n v="19"/>
    <n v="4.5999999999999996"/>
    <x v="3"/>
    <n v="53962"/>
  </r>
  <r>
    <x v="1"/>
    <x v="20"/>
    <n v="17"/>
    <n v="4.5999999999999996"/>
    <x v="3"/>
    <n v="79398"/>
  </r>
  <r>
    <x v="1"/>
    <x v="21"/>
    <n v="70"/>
    <n v="4.7"/>
    <x v="3"/>
    <n v="10000"/>
  </r>
  <r>
    <x v="1"/>
    <x v="22"/>
    <n v="13.5"/>
    <n v="4.7"/>
    <x v="3"/>
    <n v="38246"/>
  </r>
  <r>
    <x v="1"/>
    <x v="23"/>
    <n v="15.2"/>
    <n v="4.7"/>
    <x v="0"/>
    <n v="65246"/>
  </r>
  <r>
    <x v="1"/>
    <x v="24"/>
    <n v="69"/>
    <n v="4.7"/>
    <x v="3"/>
    <n v="10000"/>
  </r>
  <r>
    <x v="1"/>
    <x v="25"/>
    <n v="15"/>
    <n v="4.8"/>
    <x v="0"/>
    <n v="141462"/>
  </r>
  <r>
    <x v="1"/>
    <x v="26"/>
    <n v="16"/>
    <n v="4.5999999999999996"/>
    <x v="1"/>
    <n v="110841"/>
  </r>
  <r>
    <x v="1"/>
    <x v="27"/>
    <n v="17"/>
    <n v="4.5999999999999996"/>
    <x v="4"/>
    <n v="110841"/>
  </r>
  <r>
    <x v="1"/>
    <x v="28"/>
    <n v="14"/>
    <n v="4.5999999999999996"/>
    <x v="4"/>
    <n v="110841"/>
  </r>
  <r>
    <x v="1"/>
    <x v="29"/>
    <n v="39.4"/>
    <n v="3.9"/>
    <x v="3"/>
    <n v="8237"/>
  </r>
  <r>
    <x v="1"/>
    <x v="30"/>
    <n v="17"/>
    <n v="4.3"/>
    <x v="0"/>
    <n v="718"/>
  </r>
  <r>
    <x v="2"/>
    <x v="31"/>
    <n v="16.8"/>
    <n v="4.8"/>
    <x v="3"/>
    <n v="11000"/>
  </r>
  <r>
    <x v="2"/>
    <x v="32"/>
    <n v="21.484999999999999"/>
    <n v="4.7"/>
    <x v="3"/>
    <n v="70162"/>
  </r>
  <r>
    <x v="2"/>
    <x v="33"/>
    <n v="20.5"/>
    <n v="4.5999999999999996"/>
    <x v="3"/>
    <n v="171697"/>
  </r>
  <r>
    <x v="2"/>
    <x v="34"/>
    <n v="22"/>
    <n v="4.4000000000000004"/>
    <x v="3"/>
    <n v="170076"/>
  </r>
  <r>
    <x v="2"/>
    <x v="35"/>
    <n v="15"/>
    <n v="4.7"/>
    <x v="3"/>
    <n v="24701"/>
  </r>
  <r>
    <x v="2"/>
    <x v="36"/>
    <n v="23.5"/>
    <n v="4.4000000000000004"/>
    <x v="0"/>
    <n v="85478"/>
  </r>
  <r>
    <x v="2"/>
    <x v="37"/>
    <n v="17"/>
    <n v="4.5999999999999996"/>
    <x v="3"/>
    <n v="34019"/>
  </r>
  <r>
    <x v="2"/>
    <x v="38"/>
    <n v="15"/>
    <n v="4.7"/>
    <x v="3"/>
    <n v="21944"/>
  </r>
  <r>
    <x v="2"/>
    <x v="39"/>
    <n v="50"/>
    <n v="4.4000000000000004"/>
    <x v="3"/>
    <n v="18670"/>
  </r>
  <r>
    <x v="2"/>
    <x v="40"/>
    <n v="37.5"/>
    <n v="4.4000000000000004"/>
    <x v="3"/>
    <n v="64217"/>
  </r>
  <r>
    <x v="2"/>
    <x v="41"/>
    <n v="35"/>
    <n v="4.4000000000000004"/>
    <x v="3"/>
    <n v="22724"/>
  </r>
  <r>
    <x v="2"/>
    <x v="42"/>
    <n v="19.2"/>
    <n v="4.5"/>
    <x v="0"/>
    <n v="74000"/>
  </r>
  <r>
    <x v="2"/>
    <x v="43"/>
    <n v="23.5"/>
    <n v="4.5"/>
    <x v="0"/>
    <n v="26921"/>
  </r>
  <r>
    <x v="2"/>
    <x v="44"/>
    <n v="26"/>
    <n v="3.6"/>
    <x v="0"/>
    <n v="73833"/>
  </r>
  <r>
    <x v="2"/>
    <x v="45"/>
    <n v="23"/>
    <n v="4.7"/>
    <x v="0"/>
    <n v="37202"/>
  </r>
  <r>
    <x v="2"/>
    <x v="46"/>
    <n v="75"/>
    <n v="4.8"/>
    <x v="3"/>
    <n v="10000"/>
  </r>
  <r>
    <x v="3"/>
    <x v="47"/>
    <n v="19.600000000000001"/>
    <n v="4.5999999999999996"/>
    <x v="1"/>
    <n v="162773"/>
  </r>
  <r>
    <x v="3"/>
    <x v="48"/>
    <n v="23"/>
    <n v="4.5999999999999996"/>
    <x v="1"/>
    <n v="71301"/>
  </r>
  <r>
    <x v="3"/>
    <x v="49"/>
    <n v="20"/>
    <n v="4.5999999999999996"/>
    <x v="1"/>
    <n v="128897"/>
  </r>
  <r>
    <x v="3"/>
    <x v="50"/>
    <n v="21.5"/>
    <n v="4.5"/>
    <x v="2"/>
    <n v="70764"/>
  </r>
  <r>
    <x v="3"/>
    <x v="51"/>
    <n v="19"/>
    <n v="4.5999999999999996"/>
    <x v="3"/>
    <n v="30027"/>
  </r>
  <r>
    <x v="3"/>
    <x v="52"/>
    <n v="20.5"/>
    <n v="4.5999999999999996"/>
    <x v="1"/>
    <n v="69988"/>
  </r>
  <r>
    <x v="3"/>
    <x v="53"/>
    <n v="20.5"/>
    <n v="4.5999999999999996"/>
    <x v="2"/>
    <n v="55215"/>
  </r>
  <r>
    <x v="3"/>
    <x v="54"/>
    <n v="18.75"/>
    <n v="4.5999999999999996"/>
    <x v="1"/>
    <n v="20753"/>
  </r>
  <r>
    <x v="3"/>
    <x v="55"/>
    <n v="18"/>
    <n v="3.9"/>
    <x v="3"/>
    <n v="2883"/>
  </r>
  <r>
    <x v="3"/>
    <x v="56"/>
    <n v="42"/>
    <n v="4.7"/>
    <x v="3"/>
    <n v="52898"/>
  </r>
  <r>
    <x v="3"/>
    <x v="57"/>
    <n v="19"/>
    <n v="4.5999999999999996"/>
    <x v="1"/>
    <n v="22000"/>
  </r>
  <r>
    <x v="3"/>
    <x v="58"/>
    <n v="20"/>
    <n v="4.7"/>
    <x v="1"/>
    <n v="38147"/>
  </r>
  <r>
    <x v="3"/>
    <x v="59"/>
    <n v="17"/>
    <n v="4.5"/>
    <x v="3"/>
    <n v="1400"/>
  </r>
  <r>
    <x v="3"/>
    <x v="60"/>
    <n v="18"/>
    <n v="4.8"/>
    <x v="1"/>
    <n v="1200"/>
  </r>
  <r>
    <x v="4"/>
    <x v="61"/>
    <n v="23"/>
    <n v="4.4000000000000004"/>
    <x v="3"/>
    <n v="48916"/>
  </r>
  <r>
    <x v="4"/>
    <x v="62"/>
    <n v="23.5"/>
    <n v="4.5999999999999996"/>
    <x v="0"/>
    <n v="32000"/>
  </r>
  <r>
    <x v="4"/>
    <x v="63"/>
    <n v="26"/>
    <n v="4.5999999999999996"/>
    <x v="2"/>
    <n v="52262"/>
  </r>
  <r>
    <x v="4"/>
    <x v="64"/>
    <n v="12"/>
    <n v="4.5"/>
    <x v="3"/>
    <n v="35063"/>
  </r>
  <r>
    <x v="4"/>
    <x v="65"/>
    <n v="16.5"/>
    <n v="4.8"/>
    <x v="3"/>
    <n v="98181"/>
  </r>
  <r>
    <x v="4"/>
    <x v="66"/>
    <n v="19.5"/>
    <n v="4.5999999999999996"/>
    <x v="3"/>
    <n v="98181"/>
  </r>
  <r>
    <x v="4"/>
    <x v="67"/>
    <n v="19"/>
    <n v="4.8"/>
    <x v="3"/>
    <n v="400"/>
  </r>
  <r>
    <x v="4"/>
    <x v="68"/>
    <n v="17"/>
    <n v="3.8"/>
    <x v="1"/>
    <n v="2986"/>
  </r>
  <r>
    <x v="4"/>
    <x v="69"/>
    <n v="25"/>
    <n v="4.5999999999999996"/>
    <x v="3"/>
    <n v="2348"/>
  </r>
  <r>
    <x v="4"/>
    <x v="70"/>
    <n v="14"/>
    <n v="4.8"/>
    <x v="3"/>
    <n v="35063"/>
  </r>
  <r>
    <x v="4"/>
    <x v="71"/>
    <n v="23"/>
    <n v="4.8"/>
    <x v="1"/>
    <n v="5973"/>
  </r>
  <r>
    <x v="4"/>
    <x v="72"/>
    <n v="21.5"/>
    <n v="4.8"/>
    <x v="3"/>
    <n v="1457"/>
  </r>
  <r>
    <x v="5"/>
    <x v="73"/>
    <n v="18.5"/>
    <n v="4.7"/>
    <x v="1"/>
    <n v="100423"/>
  </r>
  <r>
    <x v="5"/>
    <x v="74"/>
    <n v="16"/>
    <n v="4.4000000000000004"/>
    <x v="1"/>
    <n v="81384"/>
  </r>
  <r>
    <x v="5"/>
    <x v="75"/>
    <n v="17"/>
    <n v="4.5999999999999996"/>
    <x v="1"/>
    <n v="14478"/>
  </r>
  <r>
    <x v="5"/>
    <x v="76"/>
    <n v="17.5"/>
    <n v="4.5"/>
    <x v="1"/>
    <n v="63167"/>
  </r>
  <r>
    <x v="5"/>
    <x v="77"/>
    <n v="18.5"/>
    <n v="4.5"/>
    <x v="3"/>
    <n v="45000"/>
  </r>
  <r>
    <x v="5"/>
    <x v="78"/>
    <n v="14"/>
    <n v="2.6"/>
    <x v="3"/>
    <n v="148"/>
  </r>
  <r>
    <x v="5"/>
    <x v="79"/>
    <n v="55"/>
    <n v="4.8"/>
    <x v="3"/>
    <n v="660"/>
  </r>
  <r>
    <x v="5"/>
    <x v="80"/>
    <n v="45"/>
    <n v="4.7"/>
    <x v="3"/>
    <n v="700"/>
  </r>
  <r>
    <x v="6"/>
    <x v="81"/>
    <n v="18.5"/>
    <n v="4.9000000000000004"/>
    <x v="3"/>
    <n v="3685"/>
  </r>
  <r>
    <x v="6"/>
    <x v="82"/>
    <n v="15"/>
    <n v="4.9000000000000004"/>
    <x v="3"/>
    <n v="1242"/>
  </r>
  <r>
    <x v="6"/>
    <x v="83"/>
    <n v="12"/>
    <n v="4.9000000000000004"/>
    <x v="3"/>
    <n v="2056"/>
  </r>
  <r>
    <x v="6"/>
    <x v="84"/>
    <n v="11"/>
    <n v="4.9000000000000004"/>
    <x v="3"/>
    <n v="3589"/>
  </r>
  <r>
    <x v="6"/>
    <x v="85"/>
    <n v="18"/>
    <n v="4.5"/>
    <x v="3"/>
    <n v="3454"/>
  </r>
  <r>
    <x v="6"/>
    <x v="86"/>
    <n v="15"/>
    <n v="4.8"/>
    <x v="3"/>
    <n v="1125"/>
  </r>
  <r>
    <x v="6"/>
    <x v="87"/>
    <n v="13"/>
    <n v="4.8"/>
    <x v="3"/>
    <n v="875"/>
  </r>
  <r>
    <x v="6"/>
    <x v="88"/>
    <n v="12.5"/>
    <n v="4.7"/>
    <x v="3"/>
    <n v="1570"/>
  </r>
  <r>
    <x v="6"/>
    <x v="89"/>
    <n v="10"/>
    <n v="4.8"/>
    <x v="3"/>
    <n v="2007"/>
  </r>
  <r>
    <x v="6"/>
    <x v="90"/>
    <n v="14"/>
    <n v="4.8"/>
    <x v="3"/>
    <n v="865"/>
  </r>
  <r>
    <x v="6"/>
    <x v="91"/>
    <n v="16"/>
    <n v="4.5999999999999996"/>
    <x v="3"/>
    <n v="458"/>
  </r>
  <r>
    <x v="6"/>
    <x v="92"/>
    <n v="12"/>
    <n v="4.7"/>
    <x v="3"/>
    <n v="7784"/>
  </r>
  <r>
    <x v="6"/>
    <x v="93"/>
    <n v="7"/>
    <n v="4.8"/>
    <x v="3"/>
    <n v="2598"/>
  </r>
  <r>
    <x v="6"/>
    <x v="94"/>
    <n v="10"/>
    <n v="4.7"/>
    <x v="3"/>
    <n v="4875"/>
  </r>
  <r>
    <x v="6"/>
    <x v="95"/>
    <n v="60"/>
    <n v="4.7"/>
    <x v="3"/>
    <n v="1212"/>
  </r>
  <r>
    <x v="6"/>
    <x v="96"/>
    <n v="61"/>
    <n v="4.7"/>
    <x v="3"/>
    <n v="8974"/>
  </r>
  <r>
    <x v="6"/>
    <x v="97"/>
    <n v="10.5"/>
    <n v="4.5999999999999996"/>
    <x v="3"/>
    <n v="1447"/>
  </r>
  <r>
    <x v="6"/>
    <x v="98"/>
    <n v="11"/>
    <n v="4.8"/>
    <x v="3"/>
    <n v="1477"/>
  </r>
  <r>
    <x v="6"/>
    <x v="99"/>
    <n v="10.5"/>
    <n v="4.3"/>
    <x v="3"/>
    <n v="3589"/>
  </r>
  <r>
    <x v="6"/>
    <x v="100"/>
    <n v="10"/>
    <n v="4.5999999999999996"/>
    <x v="3"/>
    <n v="1212"/>
  </r>
  <r>
    <x v="6"/>
    <x v="101"/>
    <n v="12"/>
    <n v="4.5999999999999996"/>
    <x v="3"/>
    <n v="1189"/>
  </r>
  <r>
    <x v="6"/>
    <x v="102"/>
    <n v="12"/>
    <n v="4.5999999999999996"/>
    <x v="3"/>
    <n v="12000"/>
  </r>
  <r>
    <x v="7"/>
    <x v="103"/>
    <n v="19"/>
    <n v="4.8"/>
    <x v="3"/>
    <n v="22289"/>
  </r>
  <r>
    <x v="7"/>
    <x v="104"/>
    <n v="19"/>
    <n v="4.7"/>
    <x v="3"/>
    <n v="19092"/>
  </r>
  <r>
    <x v="7"/>
    <x v="105"/>
    <n v="18.5"/>
    <n v="4.4000000000000004"/>
    <x v="3"/>
    <n v="23395"/>
  </r>
  <r>
    <x v="7"/>
    <x v="106"/>
    <n v="14"/>
    <n v="4.8"/>
    <x v="3"/>
    <n v="1887"/>
  </r>
  <r>
    <x v="8"/>
    <x v="107"/>
    <n v="17"/>
    <n v="4.7"/>
    <x v="3"/>
    <n v="1145"/>
  </r>
  <r>
    <x v="8"/>
    <x v="108"/>
    <n v="6"/>
    <n v="4.7"/>
    <x v="3"/>
    <n v="1124"/>
  </r>
  <r>
    <x v="8"/>
    <x v="109"/>
    <n v="7"/>
    <n v="4.7"/>
    <x v="3"/>
    <n v="11987"/>
  </r>
  <r>
    <x v="8"/>
    <x v="110"/>
    <n v="9.5"/>
    <n v="4.8"/>
    <x v="3"/>
    <n v="20478"/>
  </r>
  <r>
    <x v="8"/>
    <x v="111"/>
    <n v="8"/>
    <n v="4.7"/>
    <x v="3"/>
    <n v="1178"/>
  </r>
  <r>
    <x v="8"/>
    <x v="112"/>
    <n v="11"/>
    <n v="4.8"/>
    <x v="3"/>
    <n v="568"/>
  </r>
  <r>
    <x v="8"/>
    <x v="113"/>
    <n v="8.5"/>
    <n v="4.3"/>
    <x v="3"/>
    <n v="1457"/>
  </r>
  <r>
    <x v="8"/>
    <x v="114"/>
    <n v="8"/>
    <n v="4.7"/>
    <x v="3"/>
    <n v="339"/>
  </r>
  <r>
    <x v="8"/>
    <x v="115"/>
    <n v="10"/>
    <n v="4.8"/>
    <x v="3"/>
    <n v="56"/>
  </r>
  <r>
    <x v="8"/>
    <x v="116"/>
    <n v="13.5"/>
    <n v="4.5"/>
    <x v="3"/>
    <n v="1768"/>
  </r>
  <r>
    <x v="8"/>
    <x v="117"/>
    <n v="6"/>
    <n v="4.5999999999999996"/>
    <x v="3"/>
    <n v="3480"/>
  </r>
  <r>
    <x v="8"/>
    <x v="118"/>
    <n v="7"/>
    <n v="4.2"/>
    <x v="3"/>
    <n v="5192"/>
  </r>
  <r>
    <x v="8"/>
    <x v="119"/>
    <n v="10"/>
    <n v="4.5999999999999996"/>
    <x v="3"/>
    <n v="6904"/>
  </r>
  <r>
    <x v="8"/>
    <x v="120"/>
    <n v="9.5"/>
    <n v="4.7"/>
    <x v="3"/>
    <n v="8616"/>
  </r>
  <r>
    <x v="8"/>
    <x v="121"/>
    <n v="12.5"/>
    <n v="4.5999999999999996"/>
    <x v="3"/>
    <n v="10328"/>
  </r>
  <r>
    <x v="8"/>
    <x v="122"/>
    <n v="11"/>
    <n v="4.5999999999999996"/>
    <x v="3"/>
    <n v="12040"/>
  </r>
  <r>
    <x v="8"/>
    <x v="123"/>
    <n v="12"/>
    <n v="4.9000000000000004"/>
    <x v="3"/>
    <n v="13752"/>
  </r>
  <r>
    <x v="8"/>
    <x v="124"/>
    <n v="7.5"/>
    <n v="4.9000000000000004"/>
    <x v="3"/>
    <n v="15464"/>
  </r>
  <r>
    <x v="8"/>
    <x v="125"/>
    <n v="9"/>
    <n v="4.9000000000000004"/>
    <x v="3"/>
    <n v="17176"/>
  </r>
  <r>
    <x v="8"/>
    <x v="126"/>
    <n v="13"/>
    <n v="4.8"/>
    <x v="3"/>
    <n v="18888"/>
  </r>
  <r>
    <x v="8"/>
    <x v="127"/>
    <n v="11"/>
    <n v="4.8"/>
    <x v="3"/>
    <n v="20600"/>
  </r>
  <r>
    <x v="8"/>
    <x v="128"/>
    <n v="9.5"/>
    <n v="4.8"/>
    <x v="3"/>
    <n v="22312"/>
  </r>
  <r>
    <x v="8"/>
    <x v="129"/>
    <n v="9"/>
    <n v="4.8"/>
    <x v="3"/>
    <n v="24024"/>
  </r>
  <r>
    <x v="8"/>
    <x v="130"/>
    <n v="12"/>
    <n v="4.7"/>
    <x v="3"/>
    <n v="25736"/>
  </r>
  <r>
    <x v="8"/>
    <x v="131"/>
    <n v="7.5"/>
    <n v="4.4000000000000004"/>
    <x v="3"/>
    <n v="27448"/>
  </r>
  <r>
    <x v="8"/>
    <x v="132"/>
    <n v="9"/>
    <n v="4.8"/>
    <x v="3"/>
    <n v="29160"/>
  </r>
  <r>
    <x v="8"/>
    <x v="133"/>
    <n v="10"/>
    <n v="4.8"/>
    <x v="3"/>
    <n v="30872"/>
  </r>
  <r>
    <x v="8"/>
    <x v="134"/>
    <n v="9.5"/>
    <n v="4.8"/>
    <x v="3"/>
    <n v="32584"/>
  </r>
  <r>
    <x v="8"/>
    <x v="135"/>
    <n v="12.5"/>
    <n v="4.7"/>
    <x v="3"/>
    <n v="34296"/>
  </r>
  <r>
    <x v="8"/>
    <x v="136"/>
    <n v="11"/>
    <n v="4.8"/>
    <x v="3"/>
    <n v="36008"/>
  </r>
  <r>
    <x v="8"/>
    <x v="137"/>
    <n v="12"/>
    <n v="4.9000000000000004"/>
    <x v="3"/>
    <n v="37720"/>
  </r>
  <r>
    <x v="8"/>
    <x v="138"/>
    <n v="10"/>
    <n v="4.8"/>
    <x v="3"/>
    <n v="39432"/>
  </r>
  <r>
    <x v="8"/>
    <x v="139"/>
    <n v="9.5"/>
    <n v="4.9000000000000004"/>
    <x v="3"/>
    <n v="41144"/>
  </r>
  <r>
    <x v="9"/>
    <x v="140"/>
    <n v="12.5"/>
    <n v="4.5999999999999996"/>
    <x v="3"/>
    <n v="33642"/>
  </r>
  <r>
    <x v="9"/>
    <x v="141"/>
    <n v="11"/>
    <n v="4.5999999999999996"/>
    <x v="3"/>
    <n v="16925"/>
  </r>
  <r>
    <x v="9"/>
    <x v="142"/>
    <n v="12"/>
    <n v="4.7"/>
    <x v="2"/>
    <n v="36017"/>
  </r>
  <r>
    <x v="9"/>
    <x v="143"/>
    <n v="21"/>
    <n v="4.3"/>
    <x v="0"/>
    <n v="4589"/>
  </r>
  <r>
    <x v="9"/>
    <x v="144"/>
    <n v="27"/>
    <n v="4.5999999999999996"/>
    <x v="3"/>
    <n v="25698"/>
  </r>
  <r>
    <x v="10"/>
    <x v="145"/>
    <n v="36"/>
    <n v="4.5999999999999996"/>
    <x v="0"/>
    <n v="1475"/>
  </r>
  <r>
    <x v="10"/>
    <x v="146"/>
    <n v="20.5"/>
    <n v="4.5"/>
    <x v="0"/>
    <n v="27435"/>
  </r>
  <r>
    <x v="10"/>
    <x v="147"/>
    <n v="40"/>
    <n v="4.4000000000000004"/>
    <x v="0"/>
    <n v="2598"/>
  </r>
  <r>
    <x v="10"/>
    <x v="148"/>
    <n v="43"/>
    <n v="4.0999999999999996"/>
    <x v="3"/>
    <n v="6298"/>
  </r>
  <r>
    <x v="10"/>
    <x v="149"/>
    <n v="17.5"/>
    <n v="4.2"/>
    <x v="3"/>
    <n v="10569"/>
  </r>
  <r>
    <x v="10"/>
    <x v="150"/>
    <n v="16"/>
    <n v="4.4000000000000004"/>
    <x v="3"/>
    <n v="11254"/>
  </r>
  <r>
    <x v="10"/>
    <x v="151"/>
    <n v="12.5"/>
    <n v="4.2"/>
    <x v="3"/>
    <n v="2450"/>
  </r>
  <r>
    <x v="11"/>
    <x v="152"/>
    <n v="23"/>
    <n v="4.8"/>
    <x v="3"/>
    <n v="1454"/>
  </r>
  <r>
    <x v="11"/>
    <x v="153"/>
    <n v="30"/>
    <n v="4.8"/>
    <x v="3"/>
    <n v="756"/>
  </r>
  <r>
    <x v="11"/>
    <x v="154"/>
    <n v="11"/>
    <n v="4.8"/>
    <x v="3"/>
    <n v="1487"/>
  </r>
  <r>
    <x v="11"/>
    <x v="155"/>
    <n v="10.5"/>
    <n v="4.7"/>
    <x v="3"/>
    <n v="2298"/>
  </r>
  <r>
    <x v="11"/>
    <x v="156"/>
    <n v="12"/>
    <n v="4.7"/>
    <x v="3"/>
    <n v="15879"/>
  </r>
  <r>
    <x v="11"/>
    <x v="157"/>
    <n v="11.5"/>
    <n v="4.2"/>
    <x v="3"/>
    <n v="20056"/>
  </r>
  <r>
    <x v="11"/>
    <x v="158"/>
    <n v="10.5"/>
    <n v="4.7"/>
    <x v="3"/>
    <n v="16789"/>
  </r>
  <r>
    <x v="12"/>
    <x v="159"/>
    <n v="18.5"/>
    <n v="4.5"/>
    <x v="0"/>
    <n v="22446"/>
  </r>
  <r>
    <x v="12"/>
    <x v="160"/>
    <n v="21.5"/>
    <n v="4.4000000000000004"/>
    <x v="4"/>
    <n v="10168"/>
  </r>
  <r>
    <x v="12"/>
    <x v="161"/>
    <n v="19"/>
    <n v="4.5"/>
    <x v="0"/>
    <n v="12825"/>
  </r>
  <r>
    <x v="13"/>
    <x v="162"/>
    <n v="18.5"/>
    <n v="4.4000000000000004"/>
    <x v="0"/>
    <n v="4474"/>
  </r>
  <r>
    <x v="13"/>
    <x v="163"/>
    <n v="18.5"/>
    <n v="4.5999999999999996"/>
    <x v="0"/>
    <n v="2241"/>
  </r>
  <r>
    <x v="13"/>
    <x v="164"/>
    <n v="17.5"/>
    <n v="4.5999999999999996"/>
    <x v="0"/>
    <n v="1832"/>
  </r>
  <r>
    <x v="13"/>
    <x v="165"/>
    <n v="37"/>
    <n v="4.4000000000000004"/>
    <x v="0"/>
    <n v="2056"/>
  </r>
  <r>
    <x v="13"/>
    <x v="166"/>
    <n v="17"/>
    <n v="4.0999999999999996"/>
    <x v="0"/>
    <n v="56"/>
  </r>
  <r>
    <x v="14"/>
    <x v="167"/>
    <n v="15"/>
    <n v="4.2"/>
    <x v="3"/>
    <n v="1768"/>
  </r>
  <r>
    <x v="14"/>
    <x v="168"/>
    <n v="15"/>
    <n v="4.4000000000000004"/>
    <x v="3"/>
    <n v="1298"/>
  </r>
  <r>
    <x v="14"/>
    <x v="169"/>
    <n v="10.5"/>
    <n v="4.8"/>
    <x v="3"/>
    <n v="345"/>
  </r>
  <r>
    <x v="14"/>
    <x v="170"/>
    <n v="12"/>
    <n v="4.3"/>
    <x v="3"/>
    <n v="123"/>
  </r>
  <r>
    <x v="15"/>
    <x v="171"/>
    <n v="14"/>
    <n v="4.7"/>
    <x v="3"/>
    <n v="2278"/>
  </r>
  <r>
    <x v="15"/>
    <x v="172"/>
    <n v="17"/>
    <n v="4.7"/>
    <x v="3"/>
    <n v="3765"/>
  </r>
  <r>
    <x v="15"/>
    <x v="173"/>
    <n v="14"/>
    <n v="4.7"/>
    <x v="3"/>
    <n v="2567"/>
  </r>
  <r>
    <x v="15"/>
    <x v="174"/>
    <n v="12"/>
    <n v="4.5"/>
    <x v="3"/>
    <n v="2000"/>
  </r>
  <r>
    <x v="15"/>
    <x v="175"/>
    <n v="13"/>
    <n v="4.7"/>
    <x v="3"/>
    <n v="1123"/>
  </r>
  <r>
    <x v="15"/>
    <x v="176"/>
    <n v="10"/>
    <n v="4.7"/>
    <x v="3"/>
    <n v="2234"/>
  </r>
  <r>
    <x v="15"/>
    <x v="177"/>
    <n v="11"/>
    <n v="4.7"/>
    <x v="3"/>
    <n v="754"/>
  </r>
  <r>
    <x v="15"/>
    <x v="178"/>
    <n v="34"/>
    <n v="4.8"/>
    <x v="3"/>
    <n v="122"/>
  </r>
  <r>
    <x v="15"/>
    <x v="179"/>
    <n v="12"/>
    <n v="4.7"/>
    <x v="3"/>
    <n v="548"/>
  </r>
  <r>
    <x v="15"/>
    <x v="180"/>
    <n v="10"/>
    <n v="4.8"/>
    <x v="3"/>
    <n v="446"/>
  </r>
  <r>
    <x v="15"/>
    <x v="181"/>
    <n v="10"/>
    <n v="4.8"/>
    <x v="3"/>
    <n v="600"/>
  </r>
  <r>
    <x v="15"/>
    <x v="182"/>
    <n v="12"/>
    <n v="4.8"/>
    <x v="3"/>
    <n v="524"/>
  </r>
  <r>
    <x v="15"/>
    <x v="183"/>
    <n v="40"/>
    <n v="4.8"/>
    <x v="3"/>
    <n v="265"/>
  </r>
  <r>
    <x v="15"/>
    <x v="184"/>
    <n v="35"/>
    <n v="4.8"/>
    <x v="3"/>
    <n v="252"/>
  </r>
  <r>
    <x v="15"/>
    <x v="185"/>
    <n v="43"/>
    <n v="4.7"/>
    <x v="3"/>
    <n v="444"/>
  </r>
  <r>
    <x v="15"/>
    <x v="186"/>
    <n v="34"/>
    <n v="4.7"/>
    <x v="3"/>
    <n v="114"/>
  </r>
  <r>
    <x v="16"/>
    <x v="187"/>
    <n v="18"/>
    <n v="4.5"/>
    <x v="0"/>
    <n v="30147"/>
  </r>
  <r>
    <x v="16"/>
    <x v="188"/>
    <n v="13"/>
    <n v="2.7"/>
    <x v="3"/>
    <n v="450"/>
  </r>
  <r>
    <x v="17"/>
    <x v="189"/>
    <n v="20.5"/>
    <n v="3.9"/>
    <x v="3"/>
    <n v="3100"/>
  </r>
  <r>
    <x v="17"/>
    <x v="190"/>
    <n v="18"/>
    <n v="4.7"/>
    <x v="3"/>
    <n v="1300"/>
  </r>
  <r>
    <x v="17"/>
    <x v="191"/>
    <n v="18"/>
    <n v="4.8"/>
    <x v="3"/>
    <n v="1478"/>
  </r>
  <r>
    <x v="17"/>
    <x v="192"/>
    <n v="19"/>
    <n v="4.4000000000000004"/>
    <x v="3"/>
    <n v="542"/>
  </r>
  <r>
    <x v="18"/>
    <x v="193"/>
    <n v="12"/>
    <n v="4.9000000000000004"/>
    <x v="3"/>
    <n v="2200"/>
  </r>
  <r>
    <x v="18"/>
    <x v="194"/>
    <n v="11"/>
    <n v="4.5999999999999996"/>
    <x v="3"/>
    <n v="1523"/>
  </r>
  <r>
    <x v="18"/>
    <x v="195"/>
    <n v="12"/>
    <n v="4.3"/>
    <x v="3"/>
    <n v="512"/>
  </r>
  <r>
    <x v="18"/>
    <x v="196"/>
    <n v="13.5"/>
    <n v="4.5999999999999996"/>
    <x v="3"/>
    <n v="410"/>
  </r>
  <r>
    <x v="19"/>
    <x v="197"/>
    <n v="9"/>
    <n v="4.7"/>
    <x v="3"/>
    <n v="156"/>
  </r>
  <r>
    <x v="19"/>
    <x v="198"/>
    <n v="24.5"/>
    <n v="4.5999999999999996"/>
    <x v="3"/>
    <n v="454"/>
  </r>
  <r>
    <x v="19"/>
    <x v="199"/>
    <n v="10.5"/>
    <n v="4.7"/>
    <x v="3"/>
    <n v="259"/>
  </r>
  <r>
    <x v="19"/>
    <x v="200"/>
    <n v="12"/>
    <n v="4.9000000000000004"/>
    <x v="3"/>
    <n v="137"/>
  </r>
  <r>
    <x v="19"/>
    <x v="201"/>
    <n v="14"/>
    <n v="4.8"/>
    <x v="3"/>
    <n v="137"/>
  </r>
  <r>
    <x v="19"/>
    <x v="202"/>
    <n v="24.5"/>
    <n v="4.5"/>
    <x v="3"/>
    <n v="454"/>
  </r>
  <r>
    <x v="19"/>
    <x v="203"/>
    <n v="30"/>
    <n v="4.7"/>
    <x v="3"/>
    <n v="200"/>
  </r>
  <r>
    <x v="20"/>
    <x v="204"/>
    <n v="22"/>
    <n v="4.5999999999999996"/>
    <x v="3"/>
    <n v="1400"/>
  </r>
  <r>
    <x v="20"/>
    <x v="205"/>
    <n v="6"/>
    <n v="4.9000000000000004"/>
    <x v="3"/>
    <n v="1473"/>
  </r>
  <r>
    <x v="20"/>
    <x v="206"/>
    <n v="17"/>
    <n v="4.4000000000000004"/>
    <x v="3"/>
    <n v="2417"/>
  </r>
  <r>
    <x v="20"/>
    <x v="207"/>
    <n v="16"/>
    <n v="4.7"/>
    <x v="3"/>
    <n v="1222"/>
  </r>
  <r>
    <x v="20"/>
    <x v="208"/>
    <n v="18"/>
    <n v="4.5999999999999996"/>
    <x v="3"/>
    <n v="2000"/>
  </r>
  <r>
    <x v="21"/>
    <x v="209"/>
    <n v="6.5"/>
    <n v="4.8"/>
    <x v="3"/>
    <n v="60"/>
  </r>
  <r>
    <x v="21"/>
    <x v="210"/>
    <n v="7"/>
    <n v="4.4000000000000004"/>
    <x v="3"/>
    <n v="65"/>
  </r>
  <r>
    <x v="21"/>
    <x v="211"/>
    <n v="8"/>
    <n v="4.7"/>
    <x v="3"/>
    <n v="62"/>
  </r>
  <r>
    <x v="22"/>
    <x v="212"/>
    <n v="15.5"/>
    <n v="4.7"/>
    <x v="3"/>
    <n v="74"/>
  </r>
  <r>
    <x v="23"/>
    <x v="213"/>
    <n v="6.5"/>
    <n v="4.8"/>
    <x v="3"/>
    <n v="16"/>
  </r>
  <r>
    <x v="23"/>
    <x v="214"/>
    <n v="6"/>
    <n v="4.8"/>
    <x v="3"/>
    <n v="13"/>
  </r>
  <r>
    <x v="23"/>
    <x v="215"/>
    <n v="8"/>
    <n v="4.9000000000000004"/>
    <x v="3"/>
    <n v="10"/>
  </r>
  <r>
    <x v="24"/>
    <x v="216"/>
    <n v="18"/>
    <n v="4.5"/>
    <x v="3"/>
    <n v="284"/>
  </r>
  <r>
    <x v="24"/>
    <x v="217"/>
    <n v="16.5"/>
    <n v="4.7"/>
    <x v="3"/>
    <n v="56"/>
  </r>
  <r>
    <x v="24"/>
    <x v="218"/>
    <n v="17.5"/>
    <n v="4.4000000000000004"/>
    <x v="3"/>
    <n v="200"/>
  </r>
  <r>
    <x v="24"/>
    <x v="219"/>
    <n v="43"/>
    <n v="4.7"/>
    <x v="3"/>
    <n v="123"/>
  </r>
  <r>
    <x v="25"/>
    <x v="220"/>
    <n v="7"/>
    <n v="4.5999999999999996"/>
    <x v="3"/>
    <n v="16"/>
  </r>
  <r>
    <x v="25"/>
    <x v="221"/>
    <n v="8"/>
    <n v="4.5999999999999996"/>
    <x v="3"/>
    <n v="10"/>
  </r>
  <r>
    <x v="25"/>
    <x v="222"/>
    <n v="8"/>
    <n v="4.5999999999999996"/>
    <x v="3"/>
    <n v="20"/>
  </r>
  <r>
    <x v="25"/>
    <x v="223"/>
    <n v="7"/>
    <n v="4.8"/>
    <x v="3"/>
    <n v="12"/>
  </r>
  <r>
    <x v="25"/>
    <x v="224"/>
    <n v="8"/>
    <n v="4.8"/>
    <x v="3"/>
    <n v="30"/>
  </r>
  <r>
    <x v="25"/>
    <x v="225"/>
    <n v="8"/>
    <n v="4.5999999999999996"/>
    <x v="3"/>
    <n v="24"/>
  </r>
  <r>
    <x v="26"/>
    <x v="226"/>
    <n v="8"/>
    <n v="4.5"/>
    <x v="1"/>
    <n v="891"/>
  </r>
  <r>
    <x v="26"/>
    <x v="227"/>
    <n v="7"/>
    <n v="4.7"/>
    <x v="1"/>
    <n v="10"/>
  </r>
  <r>
    <x v="27"/>
    <x v="228"/>
    <n v="11"/>
    <n v="4.8"/>
    <x v="0"/>
    <n v="144"/>
  </r>
  <r>
    <x v="27"/>
    <x v="229"/>
    <n v="10"/>
    <n v="4.5999999999999996"/>
    <x v="0"/>
    <n v="2147"/>
  </r>
  <r>
    <x v="28"/>
    <x v="230"/>
    <n v="12"/>
    <n v="4.7"/>
    <x v="3"/>
    <n v="74"/>
  </r>
  <r>
    <x v="28"/>
    <x v="231"/>
    <n v="8"/>
    <n v="4.9000000000000004"/>
    <x v="3"/>
    <n v="26"/>
  </r>
  <r>
    <x v="28"/>
    <x v="232"/>
    <n v="9.5"/>
    <n v="4.5"/>
    <x v="3"/>
    <n v="96"/>
  </r>
  <r>
    <x v="28"/>
    <x v="233"/>
    <n v="9.5"/>
    <n v="4.4000000000000004"/>
    <x v="3"/>
    <n v="111"/>
  </r>
  <r>
    <x v="28"/>
    <x v="234"/>
    <n v="12.5"/>
    <n v="4.4000000000000004"/>
    <x v="3"/>
    <n v="35"/>
  </r>
  <r>
    <x v="28"/>
    <x v="235"/>
    <n v="12"/>
    <n v="4.5"/>
    <x v="3"/>
    <n v="96"/>
  </r>
  <r>
    <x v="29"/>
    <x v="236"/>
    <n v="5"/>
    <n v="4.5"/>
    <x v="3"/>
    <n v="52"/>
  </r>
  <r>
    <x v="29"/>
    <x v="237"/>
    <n v="8"/>
    <n v="4.5"/>
    <x v="3"/>
    <n v="114"/>
  </r>
  <r>
    <x v="29"/>
    <x v="238"/>
    <n v="7"/>
    <n v="4.5"/>
    <x v="3"/>
    <n v="28"/>
  </r>
  <r>
    <x v="29"/>
    <x v="239"/>
    <n v="10"/>
    <n v="4.7"/>
    <x v="3"/>
    <n v="11"/>
  </r>
  <r>
    <x v="29"/>
    <x v="240"/>
    <n v="9"/>
    <n v="4.5999999999999996"/>
    <x v="3"/>
    <n v="44"/>
  </r>
  <r>
    <x v="30"/>
    <x v="241"/>
    <n v="7"/>
    <n v="4.9000000000000004"/>
    <x v="3"/>
    <n v="50"/>
  </r>
  <r>
    <x v="31"/>
    <x v="242"/>
    <n v="5"/>
    <n v="4.8"/>
    <x v="3"/>
    <n v="20"/>
  </r>
  <r>
    <x v="31"/>
    <x v="243"/>
    <n v="8"/>
    <n v="4.8"/>
    <x v="3"/>
    <n v="18"/>
  </r>
  <r>
    <x v="31"/>
    <x v="244"/>
    <n v="7"/>
    <n v="4.5"/>
    <x v="3"/>
    <n v="12"/>
  </r>
  <r>
    <x v="32"/>
    <x v="245"/>
    <n v="7"/>
    <n v="4.5"/>
    <x v="3"/>
    <n v="250"/>
  </r>
  <r>
    <x v="32"/>
    <x v="246"/>
    <n v="5"/>
    <n v="4.5"/>
    <x v="3"/>
    <n v="40"/>
  </r>
  <r>
    <x v="32"/>
    <x v="247"/>
    <n v="6"/>
    <n v="4.8"/>
    <x v="3"/>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2A182B-2A6B-4C67-9A29-DDACBBBDFB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35" firstHeaderRow="1" firstDataRow="1" firstDataCol="1"/>
  <pivotFields count="6">
    <pivotField axis="axisRow" showAll="0">
      <items count="34">
        <item x="29"/>
        <item x="15"/>
        <item x="30"/>
        <item x="6"/>
        <item x="17"/>
        <item x="13"/>
        <item x="25"/>
        <item x="26"/>
        <item x="9"/>
        <item x="3"/>
        <item x="27"/>
        <item x="22"/>
        <item x="14"/>
        <item x="5"/>
        <item x="21"/>
        <item x="11"/>
        <item x="20"/>
        <item x="32"/>
        <item x="1"/>
        <item x="0"/>
        <item x="28"/>
        <item x="31"/>
        <item x="8"/>
        <item x="10"/>
        <item x="24"/>
        <item x="16"/>
        <item x="19"/>
        <item x="12"/>
        <item x="23"/>
        <item x="7"/>
        <item x="2"/>
        <item x="4"/>
        <item x="18"/>
        <item t="default"/>
      </items>
    </pivotField>
    <pivotField dataField="1" showAll="0">
      <items count="249">
        <item x="237"/>
        <item x="240"/>
        <item x="239"/>
        <item x="236"/>
        <item x="238"/>
        <item x="172"/>
        <item x="173"/>
        <item x="182"/>
        <item x="186"/>
        <item x="178"/>
        <item x="185"/>
        <item x="171"/>
        <item x="179"/>
        <item x="175"/>
        <item x="174"/>
        <item x="177"/>
        <item x="184"/>
        <item x="183"/>
        <item x="181"/>
        <item x="180"/>
        <item x="176"/>
        <item x="241"/>
        <item x="91"/>
        <item x="81"/>
        <item x="82"/>
        <item x="90"/>
        <item x="97"/>
        <item x="102"/>
        <item x="98"/>
        <item x="101"/>
        <item x="99"/>
        <item x="95"/>
        <item x="94"/>
        <item x="87"/>
        <item x="89"/>
        <item x="84"/>
        <item x="93"/>
        <item x="85"/>
        <item x="86"/>
        <item x="100"/>
        <item x="83"/>
        <item x="88"/>
        <item x="96"/>
        <item x="92"/>
        <item x="189"/>
        <item x="192"/>
        <item x="190"/>
        <item x="191"/>
        <item x="164"/>
        <item x="163"/>
        <item x="162"/>
        <item x="166"/>
        <item x="165"/>
        <item x="152"/>
        <item x="158"/>
        <item x="157"/>
        <item x="221"/>
        <item x="225"/>
        <item x="223"/>
        <item x="224"/>
        <item x="220"/>
        <item x="222"/>
        <item x="226"/>
        <item x="227"/>
        <item x="142"/>
        <item x="143"/>
        <item x="141"/>
        <item x="144"/>
        <item x="140"/>
        <item x="54"/>
        <item x="53"/>
        <item x="47"/>
        <item x="56"/>
        <item x="58"/>
        <item x="48"/>
        <item x="50"/>
        <item x="52"/>
        <item x="57"/>
        <item x="59"/>
        <item x="55"/>
        <item x="49"/>
        <item x="60"/>
        <item x="51"/>
        <item x="229"/>
        <item x="228"/>
        <item x="212"/>
        <item x="167"/>
        <item x="170"/>
        <item x="168"/>
        <item x="169"/>
        <item x="76"/>
        <item x="75"/>
        <item x="78"/>
        <item x="79"/>
        <item x="80"/>
        <item x="73"/>
        <item x="74"/>
        <item x="77"/>
        <item x="211"/>
        <item x="210"/>
        <item x="209"/>
        <item x="204"/>
        <item x="207"/>
        <item x="205"/>
        <item x="206"/>
        <item x="208"/>
        <item x="245"/>
        <item x="247"/>
        <item x="246"/>
        <item x="21"/>
        <item x="26"/>
        <item x="27"/>
        <item x="28"/>
        <item x="30"/>
        <item x="25"/>
        <item x="18"/>
        <item x="23"/>
        <item x="22"/>
        <item x="24"/>
        <item x="19"/>
        <item x="29"/>
        <item x="20"/>
        <item x="7"/>
        <item x="4"/>
        <item x="0"/>
        <item x="10"/>
        <item x="14"/>
        <item x="3"/>
        <item x="15"/>
        <item x="8"/>
        <item x="1"/>
        <item x="5"/>
        <item x="12"/>
        <item x="16"/>
        <item x="11"/>
        <item x="13"/>
        <item x="2"/>
        <item x="6"/>
        <item x="17"/>
        <item x="9"/>
        <item x="230"/>
        <item x="235"/>
        <item x="234"/>
        <item x="232"/>
        <item x="231"/>
        <item x="233"/>
        <item x="243"/>
        <item x="242"/>
        <item x="244"/>
        <item x="107"/>
        <item x="130"/>
        <item x="127"/>
        <item x="138"/>
        <item x="133"/>
        <item x="139"/>
        <item x="123"/>
        <item x="126"/>
        <item x="118"/>
        <item x="132"/>
        <item x="137"/>
        <item x="131"/>
        <item x="136"/>
        <item x="129"/>
        <item x="111"/>
        <item x="120"/>
        <item x="112"/>
        <item x="121"/>
        <item x="119"/>
        <item x="135"/>
        <item x="122"/>
        <item x="128"/>
        <item x="124"/>
        <item x="108"/>
        <item x="110"/>
        <item x="109"/>
        <item x="115"/>
        <item x="113"/>
        <item x="134"/>
        <item x="117"/>
        <item x="114"/>
        <item x="125"/>
        <item x="116"/>
        <item x="149"/>
        <item x="147"/>
        <item x="151"/>
        <item x="146"/>
        <item x="150"/>
        <item x="145"/>
        <item x="148"/>
        <item x="216"/>
        <item x="218"/>
        <item x="217"/>
        <item x="219"/>
        <item x="187"/>
        <item x="188"/>
        <item x="197"/>
        <item x="198"/>
        <item x="202"/>
        <item x="199"/>
        <item x="203"/>
        <item x="200"/>
        <item x="201"/>
        <item x="155"/>
        <item x="156"/>
        <item x="154"/>
        <item x="153"/>
        <item x="161"/>
        <item x="160"/>
        <item x="159"/>
        <item x="214"/>
        <item x="213"/>
        <item x="215"/>
        <item x="106"/>
        <item x="105"/>
        <item x="103"/>
        <item x="104"/>
        <item x="32"/>
        <item x="37"/>
        <item x="39"/>
        <item x="35"/>
        <item x="31"/>
        <item x="46"/>
        <item x="33"/>
        <item x="40"/>
        <item x="34"/>
        <item x="41"/>
        <item x="38"/>
        <item x="36"/>
        <item x="42"/>
        <item x="45"/>
        <item x="43"/>
        <item x="44"/>
        <item x="69"/>
        <item x="64"/>
        <item x="70"/>
        <item x="63"/>
        <item x="68"/>
        <item x="65"/>
        <item x="66"/>
        <item x="72"/>
        <item x="71"/>
        <item x="61"/>
        <item x="62"/>
        <item x="67"/>
        <item x="196"/>
        <item x="194"/>
        <item x="193"/>
        <item x="195"/>
        <item t="default"/>
      </items>
    </pivotField>
    <pivotField showAll="0"/>
    <pivotField showAll="0"/>
    <pivotField showAll="0"/>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Car Name" fld="1" subtotal="count" baseField="0" baseItem="0"/>
  </dataFields>
  <chartFormats count="3">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DA47D6-D138-45E6-A9FA-9E89ABF479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13" firstHeaderRow="1" firstDataRow="1" firstDataCol="1"/>
  <pivotFields count="6">
    <pivotField showAll="0"/>
    <pivotField axis="axisRow" showAll="0" measureFilter="1">
      <items count="249">
        <item x="237"/>
        <item x="240"/>
        <item x="239"/>
        <item x="236"/>
        <item x="238"/>
        <item x="172"/>
        <item x="173"/>
        <item x="182"/>
        <item x="186"/>
        <item x="178"/>
        <item x="185"/>
        <item x="171"/>
        <item x="179"/>
        <item x="175"/>
        <item x="174"/>
        <item x="177"/>
        <item x="184"/>
        <item x="183"/>
        <item x="181"/>
        <item x="180"/>
        <item x="176"/>
        <item x="241"/>
        <item x="91"/>
        <item x="81"/>
        <item x="82"/>
        <item x="90"/>
        <item x="97"/>
        <item x="102"/>
        <item x="98"/>
        <item x="101"/>
        <item x="99"/>
        <item x="95"/>
        <item x="94"/>
        <item x="87"/>
        <item x="89"/>
        <item x="84"/>
        <item x="93"/>
        <item x="85"/>
        <item x="86"/>
        <item x="100"/>
        <item x="83"/>
        <item x="88"/>
        <item x="96"/>
        <item x="92"/>
        <item x="189"/>
        <item x="192"/>
        <item x="190"/>
        <item x="191"/>
        <item x="164"/>
        <item x="163"/>
        <item x="162"/>
        <item x="166"/>
        <item x="165"/>
        <item x="152"/>
        <item x="158"/>
        <item x="157"/>
        <item x="221"/>
        <item x="225"/>
        <item x="223"/>
        <item x="224"/>
        <item x="220"/>
        <item x="222"/>
        <item x="226"/>
        <item x="227"/>
        <item x="142"/>
        <item x="143"/>
        <item x="141"/>
        <item x="144"/>
        <item x="140"/>
        <item x="54"/>
        <item x="53"/>
        <item x="47"/>
        <item x="56"/>
        <item x="58"/>
        <item x="48"/>
        <item x="50"/>
        <item x="52"/>
        <item x="57"/>
        <item x="59"/>
        <item x="55"/>
        <item x="49"/>
        <item x="60"/>
        <item x="51"/>
        <item x="229"/>
        <item x="228"/>
        <item x="212"/>
        <item x="167"/>
        <item x="170"/>
        <item x="168"/>
        <item x="169"/>
        <item x="76"/>
        <item x="75"/>
        <item x="78"/>
        <item x="79"/>
        <item x="80"/>
        <item x="73"/>
        <item x="74"/>
        <item x="77"/>
        <item x="211"/>
        <item x="210"/>
        <item x="209"/>
        <item x="204"/>
        <item x="207"/>
        <item x="205"/>
        <item x="206"/>
        <item x="208"/>
        <item x="245"/>
        <item x="247"/>
        <item x="246"/>
        <item x="21"/>
        <item x="26"/>
        <item x="27"/>
        <item x="28"/>
        <item x="30"/>
        <item x="25"/>
        <item x="18"/>
        <item x="23"/>
        <item x="22"/>
        <item x="24"/>
        <item x="19"/>
        <item x="29"/>
        <item x="20"/>
        <item x="7"/>
        <item x="4"/>
        <item x="0"/>
        <item x="10"/>
        <item x="14"/>
        <item x="3"/>
        <item x="15"/>
        <item x="8"/>
        <item x="1"/>
        <item x="5"/>
        <item x="12"/>
        <item x="16"/>
        <item x="11"/>
        <item x="13"/>
        <item x="2"/>
        <item x="6"/>
        <item x="17"/>
        <item x="9"/>
        <item x="230"/>
        <item x="235"/>
        <item x="234"/>
        <item x="232"/>
        <item x="231"/>
        <item x="233"/>
        <item x="243"/>
        <item x="242"/>
        <item x="244"/>
        <item x="107"/>
        <item x="130"/>
        <item x="127"/>
        <item x="138"/>
        <item x="133"/>
        <item x="139"/>
        <item x="123"/>
        <item x="126"/>
        <item x="118"/>
        <item x="132"/>
        <item x="137"/>
        <item x="131"/>
        <item x="136"/>
        <item x="129"/>
        <item x="111"/>
        <item x="120"/>
        <item x="112"/>
        <item x="121"/>
        <item x="119"/>
        <item x="135"/>
        <item x="122"/>
        <item x="128"/>
        <item x="124"/>
        <item x="108"/>
        <item x="110"/>
        <item x="109"/>
        <item x="115"/>
        <item x="113"/>
        <item x="134"/>
        <item x="117"/>
        <item x="114"/>
        <item x="125"/>
        <item x="116"/>
        <item x="149"/>
        <item x="147"/>
        <item x="151"/>
        <item x="146"/>
        <item x="150"/>
        <item x="145"/>
        <item x="148"/>
        <item x="216"/>
        <item x="218"/>
        <item x="217"/>
        <item x="219"/>
        <item x="187"/>
        <item x="188"/>
        <item x="197"/>
        <item x="198"/>
        <item x="202"/>
        <item x="199"/>
        <item x="203"/>
        <item x="200"/>
        <item x="201"/>
        <item x="155"/>
        <item x="156"/>
        <item x="154"/>
        <item x="153"/>
        <item x="161"/>
        <item x="160"/>
        <item x="159"/>
        <item x="214"/>
        <item x="213"/>
        <item x="215"/>
        <item x="106"/>
        <item x="105"/>
        <item x="103"/>
        <item x="104"/>
        <item x="32"/>
        <item x="37"/>
        <item x="39"/>
        <item x="35"/>
        <item x="31"/>
        <item x="46"/>
        <item x="33"/>
        <item x="40"/>
        <item x="34"/>
        <item x="41"/>
        <item x="38"/>
        <item x="36"/>
        <item x="42"/>
        <item x="45"/>
        <item x="43"/>
        <item x="44"/>
        <item x="69"/>
        <item x="64"/>
        <item x="70"/>
        <item x="63"/>
        <item x="68"/>
        <item x="65"/>
        <item x="66"/>
        <item x="72"/>
        <item x="71"/>
        <item x="61"/>
        <item x="62"/>
        <item x="67"/>
        <item x="196"/>
        <item x="194"/>
        <item x="193"/>
        <item x="195"/>
        <item t="default"/>
      </items>
    </pivotField>
    <pivotField dataField="1" showAll="0"/>
    <pivotField showAll="0"/>
    <pivotField showAll="0"/>
    <pivotField showAll="0"/>
  </pivotFields>
  <rowFields count="1">
    <field x="1"/>
  </rowFields>
  <rowItems count="12">
    <i>
      <x v="10"/>
    </i>
    <i>
      <x v="31"/>
    </i>
    <i>
      <x v="42"/>
    </i>
    <i>
      <x v="93"/>
    </i>
    <i>
      <x v="94"/>
    </i>
    <i>
      <x v="109"/>
    </i>
    <i>
      <x v="118"/>
    </i>
    <i>
      <x v="188"/>
    </i>
    <i>
      <x v="192"/>
    </i>
    <i>
      <x v="218"/>
    </i>
    <i>
      <x v="221"/>
    </i>
    <i t="grand">
      <x/>
    </i>
  </rowItems>
  <colItems count="1">
    <i/>
  </colItems>
  <dataFields count="1">
    <dataField name="Sum of Avg Mileage" fld="2" baseField="0" baseItem="0"/>
  </dataFields>
  <chartFormats count="3">
    <chartFormat chart="5"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A23CFE-A693-4C3A-8016-720F5E456A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17" firstHeaderRow="1" firstDataRow="1" firstDataCol="1"/>
  <pivotFields count="6">
    <pivotField showAll="0"/>
    <pivotField axis="axisRow" showAll="0" measureFilter="1">
      <items count="249">
        <item x="237"/>
        <item x="240"/>
        <item x="239"/>
        <item x="236"/>
        <item x="238"/>
        <item x="172"/>
        <item x="173"/>
        <item x="182"/>
        <item x="186"/>
        <item x="178"/>
        <item x="185"/>
        <item x="171"/>
        <item x="179"/>
        <item x="175"/>
        <item x="174"/>
        <item x="177"/>
        <item x="184"/>
        <item x="183"/>
        <item x="181"/>
        <item x="180"/>
        <item x="176"/>
        <item x="241"/>
        <item x="91"/>
        <item x="81"/>
        <item x="82"/>
        <item x="90"/>
        <item x="97"/>
        <item x="102"/>
        <item x="98"/>
        <item x="101"/>
        <item x="99"/>
        <item x="95"/>
        <item x="94"/>
        <item x="87"/>
        <item x="89"/>
        <item x="84"/>
        <item x="93"/>
        <item x="85"/>
        <item x="86"/>
        <item x="100"/>
        <item x="83"/>
        <item x="88"/>
        <item x="96"/>
        <item x="92"/>
        <item x="189"/>
        <item x="192"/>
        <item x="190"/>
        <item x="191"/>
        <item x="164"/>
        <item x="163"/>
        <item x="162"/>
        <item x="166"/>
        <item x="165"/>
        <item x="152"/>
        <item x="158"/>
        <item x="157"/>
        <item x="221"/>
        <item x="225"/>
        <item x="223"/>
        <item x="224"/>
        <item x="220"/>
        <item x="222"/>
        <item x="226"/>
        <item x="227"/>
        <item x="142"/>
        <item x="143"/>
        <item x="141"/>
        <item x="144"/>
        <item x="140"/>
        <item x="54"/>
        <item x="53"/>
        <item x="47"/>
        <item x="56"/>
        <item x="58"/>
        <item x="48"/>
        <item x="50"/>
        <item x="52"/>
        <item x="57"/>
        <item x="59"/>
        <item x="55"/>
        <item x="49"/>
        <item x="60"/>
        <item x="51"/>
        <item x="229"/>
        <item x="228"/>
        <item x="212"/>
        <item x="167"/>
        <item x="170"/>
        <item x="168"/>
        <item x="169"/>
        <item x="76"/>
        <item x="75"/>
        <item x="78"/>
        <item x="79"/>
        <item x="80"/>
        <item x="73"/>
        <item x="74"/>
        <item x="77"/>
        <item x="211"/>
        <item x="210"/>
        <item x="209"/>
        <item x="204"/>
        <item x="207"/>
        <item x="205"/>
        <item x="206"/>
        <item x="208"/>
        <item x="245"/>
        <item x="247"/>
        <item x="246"/>
        <item x="21"/>
        <item x="26"/>
        <item x="27"/>
        <item x="28"/>
        <item x="30"/>
        <item x="25"/>
        <item x="18"/>
        <item x="23"/>
        <item x="22"/>
        <item x="24"/>
        <item x="19"/>
        <item x="29"/>
        <item x="20"/>
        <item x="7"/>
        <item x="4"/>
        <item x="0"/>
        <item x="10"/>
        <item x="14"/>
        <item x="3"/>
        <item x="15"/>
        <item x="8"/>
        <item x="1"/>
        <item x="5"/>
        <item x="12"/>
        <item x="16"/>
        <item x="11"/>
        <item x="13"/>
        <item x="2"/>
        <item x="6"/>
        <item x="17"/>
        <item x="9"/>
        <item x="230"/>
        <item x="235"/>
        <item x="234"/>
        <item x="232"/>
        <item x="231"/>
        <item x="233"/>
        <item x="243"/>
        <item x="242"/>
        <item x="244"/>
        <item x="107"/>
        <item x="130"/>
        <item x="127"/>
        <item x="138"/>
        <item x="133"/>
        <item x="139"/>
        <item x="123"/>
        <item x="126"/>
        <item x="118"/>
        <item x="132"/>
        <item x="137"/>
        <item x="131"/>
        <item x="136"/>
        <item x="129"/>
        <item x="111"/>
        <item x="120"/>
        <item x="112"/>
        <item x="121"/>
        <item x="119"/>
        <item x="135"/>
        <item x="122"/>
        <item x="128"/>
        <item x="124"/>
        <item x="108"/>
        <item x="110"/>
        <item x="109"/>
        <item x="115"/>
        <item x="113"/>
        <item x="134"/>
        <item x="117"/>
        <item x="114"/>
        <item x="125"/>
        <item x="116"/>
        <item x="149"/>
        <item x="147"/>
        <item x="151"/>
        <item x="146"/>
        <item x="150"/>
        <item x="145"/>
        <item x="148"/>
        <item x="216"/>
        <item x="218"/>
        <item x="217"/>
        <item x="219"/>
        <item x="187"/>
        <item x="188"/>
        <item x="197"/>
        <item x="198"/>
        <item x="202"/>
        <item x="199"/>
        <item x="203"/>
        <item x="200"/>
        <item x="201"/>
        <item x="155"/>
        <item x="156"/>
        <item x="154"/>
        <item x="153"/>
        <item x="161"/>
        <item x="160"/>
        <item x="159"/>
        <item x="214"/>
        <item x="213"/>
        <item x="215"/>
        <item x="106"/>
        <item x="105"/>
        <item x="103"/>
        <item x="104"/>
        <item x="32"/>
        <item x="37"/>
        <item x="39"/>
        <item x="35"/>
        <item x="31"/>
        <item x="46"/>
        <item x="33"/>
        <item x="40"/>
        <item x="34"/>
        <item x="41"/>
        <item x="38"/>
        <item x="36"/>
        <item x="42"/>
        <item x="45"/>
        <item x="43"/>
        <item x="44"/>
        <item x="69"/>
        <item x="64"/>
        <item x="70"/>
        <item x="63"/>
        <item x="68"/>
        <item x="65"/>
        <item x="66"/>
        <item x="72"/>
        <item x="71"/>
        <item x="61"/>
        <item x="62"/>
        <item x="67"/>
        <item x="196"/>
        <item x="194"/>
        <item x="193"/>
        <item x="195"/>
        <item t="default"/>
      </items>
    </pivotField>
    <pivotField showAll="0"/>
    <pivotField dataField="1" showAll="0"/>
    <pivotField showAll="0"/>
    <pivotField showAll="0"/>
  </pivotFields>
  <rowFields count="1">
    <field x="1"/>
  </rowFields>
  <rowItems count="16">
    <i>
      <x v="21"/>
    </i>
    <i>
      <x v="23"/>
    </i>
    <i>
      <x v="24"/>
    </i>
    <i>
      <x v="35"/>
    </i>
    <i>
      <x v="40"/>
    </i>
    <i>
      <x v="103"/>
    </i>
    <i>
      <x v="144"/>
    </i>
    <i>
      <x v="154"/>
    </i>
    <i>
      <x v="155"/>
    </i>
    <i>
      <x v="159"/>
    </i>
    <i>
      <x v="171"/>
    </i>
    <i>
      <x v="180"/>
    </i>
    <i>
      <x v="200"/>
    </i>
    <i>
      <x v="211"/>
    </i>
    <i>
      <x v="246"/>
    </i>
    <i t="grand">
      <x/>
    </i>
  </rowItems>
  <colItems count="1">
    <i/>
  </colItems>
  <dataFields count="1">
    <dataField name="Sum of Numeric Rating" fld="3" baseField="0" baseItem="0"/>
  </dataFields>
  <chartFormats count="18">
    <chartFormat chart="0" format="0" series="1">
      <pivotArea type="data" outline="0" fieldPosition="0">
        <references count="1">
          <reference field="4294967294" count="1" selected="0">
            <x v="0"/>
          </reference>
        </references>
      </pivotArea>
    </chartFormat>
    <chartFormat chart="6" format="17" series="1">
      <pivotArea type="data" outline="0" fieldPosition="0">
        <references count="1">
          <reference field="4294967294" count="1" selected="0">
            <x v="0"/>
          </reference>
        </references>
      </pivotArea>
    </chartFormat>
    <chartFormat chart="6" format="18">
      <pivotArea type="data" outline="0" fieldPosition="0">
        <references count="2">
          <reference field="4294967294" count="1" selected="0">
            <x v="0"/>
          </reference>
          <reference field="1" count="1" selected="0">
            <x v="21"/>
          </reference>
        </references>
      </pivotArea>
    </chartFormat>
    <chartFormat chart="6" format="19">
      <pivotArea type="data" outline="0" fieldPosition="0">
        <references count="2">
          <reference field="4294967294" count="1" selected="0">
            <x v="0"/>
          </reference>
          <reference field="1" count="1" selected="0">
            <x v="23"/>
          </reference>
        </references>
      </pivotArea>
    </chartFormat>
    <chartFormat chart="6" format="20">
      <pivotArea type="data" outline="0" fieldPosition="0">
        <references count="2">
          <reference field="4294967294" count="1" selected="0">
            <x v="0"/>
          </reference>
          <reference field="1" count="1" selected="0">
            <x v="24"/>
          </reference>
        </references>
      </pivotArea>
    </chartFormat>
    <chartFormat chart="6" format="21">
      <pivotArea type="data" outline="0" fieldPosition="0">
        <references count="2">
          <reference field="4294967294" count="1" selected="0">
            <x v="0"/>
          </reference>
          <reference field="1" count="1" selected="0">
            <x v="35"/>
          </reference>
        </references>
      </pivotArea>
    </chartFormat>
    <chartFormat chart="6" format="22">
      <pivotArea type="data" outline="0" fieldPosition="0">
        <references count="2">
          <reference field="4294967294" count="1" selected="0">
            <x v="0"/>
          </reference>
          <reference field="1" count="1" selected="0">
            <x v="40"/>
          </reference>
        </references>
      </pivotArea>
    </chartFormat>
    <chartFormat chart="6" format="23">
      <pivotArea type="data" outline="0" fieldPosition="0">
        <references count="2">
          <reference field="4294967294" count="1" selected="0">
            <x v="0"/>
          </reference>
          <reference field="1" count="1" selected="0">
            <x v="103"/>
          </reference>
        </references>
      </pivotArea>
    </chartFormat>
    <chartFormat chart="6" format="24">
      <pivotArea type="data" outline="0" fieldPosition="0">
        <references count="2">
          <reference field="4294967294" count="1" selected="0">
            <x v="0"/>
          </reference>
          <reference field="1" count="1" selected="0">
            <x v="144"/>
          </reference>
        </references>
      </pivotArea>
    </chartFormat>
    <chartFormat chart="6" format="25">
      <pivotArea type="data" outline="0" fieldPosition="0">
        <references count="2">
          <reference field="4294967294" count="1" selected="0">
            <x v="0"/>
          </reference>
          <reference field="1" count="1" selected="0">
            <x v="154"/>
          </reference>
        </references>
      </pivotArea>
    </chartFormat>
    <chartFormat chart="6" format="26">
      <pivotArea type="data" outline="0" fieldPosition="0">
        <references count="2">
          <reference field="4294967294" count="1" selected="0">
            <x v="0"/>
          </reference>
          <reference field="1" count="1" selected="0">
            <x v="155"/>
          </reference>
        </references>
      </pivotArea>
    </chartFormat>
    <chartFormat chart="6" format="27">
      <pivotArea type="data" outline="0" fieldPosition="0">
        <references count="2">
          <reference field="4294967294" count="1" selected="0">
            <x v="0"/>
          </reference>
          <reference field="1" count="1" selected="0">
            <x v="159"/>
          </reference>
        </references>
      </pivotArea>
    </chartFormat>
    <chartFormat chart="6" format="28">
      <pivotArea type="data" outline="0" fieldPosition="0">
        <references count="2">
          <reference field="4294967294" count="1" selected="0">
            <x v="0"/>
          </reference>
          <reference field="1" count="1" selected="0">
            <x v="171"/>
          </reference>
        </references>
      </pivotArea>
    </chartFormat>
    <chartFormat chart="6" format="29">
      <pivotArea type="data" outline="0" fieldPosition="0">
        <references count="2">
          <reference field="4294967294" count="1" selected="0">
            <x v="0"/>
          </reference>
          <reference field="1" count="1" selected="0">
            <x v="180"/>
          </reference>
        </references>
      </pivotArea>
    </chartFormat>
    <chartFormat chart="6" format="30">
      <pivotArea type="data" outline="0" fieldPosition="0">
        <references count="2">
          <reference field="4294967294" count="1" selected="0">
            <x v="0"/>
          </reference>
          <reference field="1" count="1" selected="0">
            <x v="200"/>
          </reference>
        </references>
      </pivotArea>
    </chartFormat>
    <chartFormat chart="6" format="31">
      <pivotArea type="data" outline="0" fieldPosition="0">
        <references count="2">
          <reference field="4294967294" count="1" selected="0">
            <x v="0"/>
          </reference>
          <reference field="1" count="1" selected="0">
            <x v="211"/>
          </reference>
        </references>
      </pivotArea>
    </chartFormat>
    <chartFormat chart="6" format="32">
      <pivotArea type="data" outline="0" fieldPosition="0">
        <references count="2">
          <reference field="4294967294" count="1" selected="0">
            <x v="0"/>
          </reference>
          <reference field="1" count="1" selected="0">
            <x v="246"/>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922FF3-68E7-4D2B-B4CF-95F187ECBE5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20" firstHeaderRow="1" firstDataRow="1" firstDataCol="1"/>
  <pivotFields count="6">
    <pivotField showAll="0">
      <items count="34">
        <item x="29"/>
        <item x="15"/>
        <item x="30"/>
        <item x="6"/>
        <item x="17"/>
        <item x="13"/>
        <item x="25"/>
        <item x="26"/>
        <item x="9"/>
        <item x="3"/>
        <item x="27"/>
        <item x="22"/>
        <item x="14"/>
        <item x="5"/>
        <item x="21"/>
        <item x="11"/>
        <item x="20"/>
        <item x="32"/>
        <item x="1"/>
        <item x="0"/>
        <item x="28"/>
        <item x="31"/>
        <item x="8"/>
        <item x="10"/>
        <item x="24"/>
        <item x="16"/>
        <item x="19"/>
        <item x="12"/>
        <item x="23"/>
        <item x="7"/>
        <item x="2"/>
        <item x="4"/>
        <item x="18"/>
        <item t="default"/>
      </items>
    </pivotField>
    <pivotField axis="axisRow" showAll="0">
      <items count="249">
        <item x="237"/>
        <item h="1" x="240"/>
        <item h="1" x="239"/>
        <item h="1" x="236"/>
        <item x="238"/>
        <item h="1" x="172"/>
        <item h="1" x="173"/>
        <item h="1" x="182"/>
        <item h="1" x="186"/>
        <item h="1" x="178"/>
        <item h="1" x="185"/>
        <item h="1" x="171"/>
        <item h="1" x="179"/>
        <item h="1" x="175"/>
        <item h="1" x="174"/>
        <item h="1" x="177"/>
        <item h="1" x="184"/>
        <item h="1" x="183"/>
        <item h="1" x="181"/>
        <item x="180"/>
        <item x="176"/>
        <item x="241"/>
        <item h="1" x="91"/>
        <item h="1" x="81"/>
        <item h="1" x="82"/>
        <item x="90"/>
        <item h="1" x="97"/>
        <item h="1" x="102"/>
        <item h="1" x="98"/>
        <item h="1" x="101"/>
        <item h="1" x="99"/>
        <item h="1" x="95"/>
        <item h="1" x="94"/>
        <item h="1" x="87"/>
        <item h="1" x="89"/>
        <item h="1" x="84"/>
        <item h="1" x="93"/>
        <item h="1" x="85"/>
        <item h="1" x="86"/>
        <item h="1" x="100"/>
        <item h="1" x="83"/>
        <item h="1" x="88"/>
        <item h="1" x="96"/>
        <item h="1" x="92"/>
        <item x="189"/>
        <item h="1" x="192"/>
        <item h="1" x="190"/>
        <item h="1" x="191"/>
        <item h="1" x="164"/>
        <item h="1" x="163"/>
        <item h="1" x="162"/>
        <item h="1" x="166"/>
        <item h="1" x="165"/>
        <item x="152"/>
        <item h="1" x="158"/>
        <item h="1" x="157"/>
        <item h="1" x="221"/>
        <item x="225"/>
        <item h="1" x="223"/>
        <item h="1" x="224"/>
        <item x="220"/>
        <item h="1" x="222"/>
        <item h="1" x="226"/>
        <item h="1" x="227"/>
        <item h="1" x="142"/>
        <item h="1" x="143"/>
        <item h="1" x="141"/>
        <item h="1" x="144"/>
        <item h="1" x="140"/>
        <item h="1" x="54"/>
        <item h="1" x="53"/>
        <item h="1" x="47"/>
        <item h="1" x="56"/>
        <item h="1" x="58"/>
        <item h="1" x="48"/>
        <item h="1" x="50"/>
        <item h="1" x="52"/>
        <item h="1" x="57"/>
        <item h="1" x="59"/>
        <item h="1" x="55"/>
        <item h="1" x="49"/>
        <item h="1" x="60"/>
        <item h="1" x="51"/>
        <item h="1" x="229"/>
        <item h="1" x="228"/>
        <item x="212"/>
        <item x="167"/>
        <item h="1" x="170"/>
        <item h="1" x="168"/>
        <item h="1" x="169"/>
        <item h="1" x="76"/>
        <item h="1" x="75"/>
        <item x="78"/>
        <item h="1" x="79"/>
        <item h="1" x="80"/>
        <item h="1" x="73"/>
        <item h="1" x="74"/>
        <item h="1" x="77"/>
        <item x="211"/>
        <item h="1" x="210"/>
        <item h="1" x="209"/>
        <item x="204"/>
        <item h="1" x="207"/>
        <item h="1" x="205"/>
        <item h="1" x="206"/>
        <item h="1" x="208"/>
        <item h="1" x="245"/>
        <item h="1" x="247"/>
        <item h="1" x="246"/>
        <item h="1" x="21"/>
        <item h="1" x="26"/>
        <item h="1" x="27"/>
        <item h="1" x="28"/>
        <item h="1" x="30"/>
        <item h="1" x="25"/>
        <item h="1" x="18"/>
        <item h="1" x="23"/>
        <item h="1" x="22"/>
        <item h="1" x="24"/>
        <item h="1" x="19"/>
        <item h="1" x="29"/>
        <item x="20"/>
        <item h="1" x="7"/>
        <item h="1" x="4"/>
        <item h="1" x="0"/>
        <item h="1" x="10"/>
        <item h="1" x="14"/>
        <item h="1" x="3"/>
        <item h="1" x="15"/>
        <item h="1" x="8"/>
        <item h="1" x="1"/>
        <item h="1" x="5"/>
        <item h="1" x="12"/>
        <item h="1" x="16"/>
        <item h="1" x="11"/>
        <item h="1" x="13"/>
        <item h="1" x="2"/>
        <item h="1" x="6"/>
        <item h="1" x="17"/>
        <item h="1" x="9"/>
        <item h="1" x="230"/>
        <item h="1" x="235"/>
        <item h="1" x="234"/>
        <item h="1" x="232"/>
        <item h="1" x="231"/>
        <item x="233"/>
        <item x="243"/>
        <item h="1" x="242"/>
        <item h="1" x="244"/>
        <item h="1" x="107"/>
        <item h="1" x="130"/>
        <item h="1" x="127"/>
        <item h="1" x="138"/>
        <item h="1" x="133"/>
        <item h="1" x="139"/>
        <item h="1" x="123"/>
        <item h="1" x="126"/>
        <item h="1" x="118"/>
        <item h="1" x="132"/>
        <item h="1" x="137"/>
        <item h="1" x="131"/>
        <item h="1" x="136"/>
        <item h="1" x="129"/>
        <item h="1" x="111"/>
        <item h="1" x="120"/>
        <item h="1" x="112"/>
        <item h="1" x="121"/>
        <item h="1" x="119"/>
        <item h="1" x="135"/>
        <item h="1" x="122"/>
        <item h="1" x="128"/>
        <item h="1" x="124"/>
        <item h="1" x="108"/>
        <item h="1" x="110"/>
        <item h="1" x="109"/>
        <item h="1" x="115"/>
        <item h="1" x="113"/>
        <item h="1" x="134"/>
        <item h="1" x="117"/>
        <item h="1" x="114"/>
        <item h="1" x="125"/>
        <item h="1" x="116"/>
        <item h="1" x="149"/>
        <item h="1" x="147"/>
        <item h="1" x="151"/>
        <item h="1" x="146"/>
        <item h="1" x="150"/>
        <item h="1" x="145"/>
        <item h="1" x="148"/>
        <item h="1" x="216"/>
        <item h="1" x="218"/>
        <item h="1" x="217"/>
        <item h="1" x="219"/>
        <item h="1" x="187"/>
        <item h="1" x="188"/>
        <item h="1" x="197"/>
        <item h="1" x="198"/>
        <item h="1" x="202"/>
        <item h="1" x="199"/>
        <item h="1" x="203"/>
        <item h="1" x="200"/>
        <item h="1" x="201"/>
        <item h="1" x="155"/>
        <item h="1" x="156"/>
        <item h="1" x="154"/>
        <item h="1" x="153"/>
        <item h="1" x="161"/>
        <item h="1" x="160"/>
        <item h="1" x="159"/>
        <item h="1" x="214"/>
        <item h="1" x="213"/>
        <item h="1" x="215"/>
        <item h="1" x="106"/>
        <item h="1" x="105"/>
        <item h="1" x="103"/>
        <item h="1" x="104"/>
        <item h="1" x="32"/>
        <item h="1" x="37"/>
        <item h="1" x="39"/>
        <item h="1" x="35"/>
        <item h="1" x="31"/>
        <item h="1" x="46"/>
        <item h="1" x="33"/>
        <item h="1" x="40"/>
        <item h="1" x="34"/>
        <item h="1" x="41"/>
        <item h="1" x="38"/>
        <item h="1" x="36"/>
        <item h="1" x="42"/>
        <item h="1" x="45"/>
        <item h="1" x="43"/>
        <item h="1" x="44"/>
        <item h="1" x="69"/>
        <item h="1" x="64"/>
        <item h="1" x="70"/>
        <item h="1" x="63"/>
        <item h="1" x="68"/>
        <item h="1" x="65"/>
        <item h="1" x="66"/>
        <item h="1" x="72"/>
        <item h="1" x="71"/>
        <item h="1" x="61"/>
        <item h="1" x="62"/>
        <item h="1" x="67"/>
        <item h="1" x="196"/>
        <item h="1" x="194"/>
        <item h="1" x="193"/>
        <item h="1" x="195"/>
        <item t="default"/>
      </items>
    </pivotField>
    <pivotField showAll="0"/>
    <pivotField showAll="0"/>
    <pivotField dataField="1" showAll="0">
      <items count="6">
        <item x="4"/>
        <item x="2"/>
        <item x="1"/>
        <item x="0"/>
        <item x="3"/>
        <item t="default"/>
      </items>
    </pivotField>
    <pivotField showAll="0"/>
  </pivotFields>
  <rowFields count="1">
    <field x="1"/>
  </rowFields>
  <rowItems count="19">
    <i>
      <x/>
    </i>
    <i>
      <x v="4"/>
    </i>
    <i>
      <x v="19"/>
    </i>
    <i>
      <x v="20"/>
    </i>
    <i>
      <x v="21"/>
    </i>
    <i>
      <x v="25"/>
    </i>
    <i>
      <x v="44"/>
    </i>
    <i>
      <x v="53"/>
    </i>
    <i>
      <x v="57"/>
    </i>
    <i>
      <x v="60"/>
    </i>
    <i>
      <x v="85"/>
    </i>
    <i>
      <x v="86"/>
    </i>
    <i>
      <x v="92"/>
    </i>
    <i>
      <x v="98"/>
    </i>
    <i>
      <x v="101"/>
    </i>
    <i>
      <x v="121"/>
    </i>
    <i>
      <x v="145"/>
    </i>
    <i>
      <x v="146"/>
    </i>
    <i t="grand">
      <x/>
    </i>
  </rowItems>
  <colItems count="1">
    <i/>
  </colItems>
  <dataFields count="1">
    <dataField name="Sum of Safety Rating" fld="4" baseField="0" baseItem="0"/>
  </dataFields>
  <chartFormats count="57">
    <chartFormat chart="0"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4"/>
          </reference>
        </references>
      </pivotArea>
    </chartFormat>
    <chartFormat chart="4" format="10">
      <pivotArea type="data" outline="0" fieldPosition="0">
        <references count="2">
          <reference field="4294967294" count="1" selected="0">
            <x v="0"/>
          </reference>
          <reference field="1" count="1" selected="0">
            <x v="19"/>
          </reference>
        </references>
      </pivotArea>
    </chartFormat>
    <chartFormat chart="4" format="11">
      <pivotArea type="data" outline="0" fieldPosition="0">
        <references count="2">
          <reference field="4294967294" count="1" selected="0">
            <x v="0"/>
          </reference>
          <reference field="1" count="1" selected="0">
            <x v="20"/>
          </reference>
        </references>
      </pivotArea>
    </chartFormat>
    <chartFormat chart="4" format="12">
      <pivotArea type="data" outline="0" fieldPosition="0">
        <references count="2">
          <reference field="4294967294" count="1" selected="0">
            <x v="0"/>
          </reference>
          <reference field="1" count="1" selected="0">
            <x v="21"/>
          </reference>
        </references>
      </pivotArea>
    </chartFormat>
    <chartFormat chart="4" format="13">
      <pivotArea type="data" outline="0" fieldPosition="0">
        <references count="2">
          <reference field="4294967294" count="1" selected="0">
            <x v="0"/>
          </reference>
          <reference field="1" count="1" selected="0">
            <x v="25"/>
          </reference>
        </references>
      </pivotArea>
    </chartFormat>
    <chartFormat chart="4" format="14">
      <pivotArea type="data" outline="0" fieldPosition="0">
        <references count="2">
          <reference field="4294967294" count="1" selected="0">
            <x v="0"/>
          </reference>
          <reference field="1" count="1" selected="0">
            <x v="44"/>
          </reference>
        </references>
      </pivotArea>
    </chartFormat>
    <chartFormat chart="4" format="15">
      <pivotArea type="data" outline="0" fieldPosition="0">
        <references count="2">
          <reference field="4294967294" count="1" selected="0">
            <x v="0"/>
          </reference>
          <reference field="1" count="1" selected="0">
            <x v="53"/>
          </reference>
        </references>
      </pivotArea>
    </chartFormat>
    <chartFormat chart="4" format="16">
      <pivotArea type="data" outline="0" fieldPosition="0">
        <references count="2">
          <reference field="4294967294" count="1" selected="0">
            <x v="0"/>
          </reference>
          <reference field="1" count="1" selected="0">
            <x v="57"/>
          </reference>
        </references>
      </pivotArea>
    </chartFormat>
    <chartFormat chart="4" format="17">
      <pivotArea type="data" outline="0" fieldPosition="0">
        <references count="2">
          <reference field="4294967294" count="1" selected="0">
            <x v="0"/>
          </reference>
          <reference field="1" count="1" selected="0">
            <x v="60"/>
          </reference>
        </references>
      </pivotArea>
    </chartFormat>
    <chartFormat chart="4" format="18">
      <pivotArea type="data" outline="0" fieldPosition="0">
        <references count="2">
          <reference field="4294967294" count="1" selected="0">
            <x v="0"/>
          </reference>
          <reference field="1" count="1" selected="0">
            <x v="85"/>
          </reference>
        </references>
      </pivotArea>
    </chartFormat>
    <chartFormat chart="4" format="19">
      <pivotArea type="data" outline="0" fieldPosition="0">
        <references count="2">
          <reference field="4294967294" count="1" selected="0">
            <x v="0"/>
          </reference>
          <reference field="1" count="1" selected="0">
            <x v="86"/>
          </reference>
        </references>
      </pivotArea>
    </chartFormat>
    <chartFormat chart="4" format="20">
      <pivotArea type="data" outline="0" fieldPosition="0">
        <references count="2">
          <reference field="4294967294" count="1" selected="0">
            <x v="0"/>
          </reference>
          <reference field="1" count="1" selected="0">
            <x v="92"/>
          </reference>
        </references>
      </pivotArea>
    </chartFormat>
    <chartFormat chart="4" format="21">
      <pivotArea type="data" outline="0" fieldPosition="0">
        <references count="2">
          <reference field="4294967294" count="1" selected="0">
            <x v="0"/>
          </reference>
          <reference field="1" count="1" selected="0">
            <x v="98"/>
          </reference>
        </references>
      </pivotArea>
    </chartFormat>
    <chartFormat chart="4" format="22">
      <pivotArea type="data" outline="0" fieldPosition="0">
        <references count="2">
          <reference field="4294967294" count="1" selected="0">
            <x v="0"/>
          </reference>
          <reference field="1" count="1" selected="0">
            <x v="101"/>
          </reference>
        </references>
      </pivotArea>
    </chartFormat>
    <chartFormat chart="4" format="23">
      <pivotArea type="data" outline="0" fieldPosition="0">
        <references count="2">
          <reference field="4294967294" count="1" selected="0">
            <x v="0"/>
          </reference>
          <reference field="1" count="1" selected="0">
            <x v="121"/>
          </reference>
        </references>
      </pivotArea>
    </chartFormat>
    <chartFormat chart="4" format="24">
      <pivotArea type="data" outline="0" fieldPosition="0">
        <references count="2">
          <reference field="4294967294" count="1" selected="0">
            <x v="0"/>
          </reference>
          <reference field="1" count="1" selected="0">
            <x v="145"/>
          </reference>
        </references>
      </pivotArea>
    </chartFormat>
    <chartFormat chart="4" format="25">
      <pivotArea type="data" outline="0" fieldPosition="0">
        <references count="2">
          <reference field="4294967294" count="1" selected="0">
            <x v="0"/>
          </reference>
          <reference field="1" count="1" selected="0">
            <x v="146"/>
          </reference>
        </references>
      </pivotArea>
    </chartFormat>
    <chartFormat chart="5" format="26" series="1">
      <pivotArea type="data" outline="0" fieldPosition="0">
        <references count="1">
          <reference field="4294967294" count="1" selected="0">
            <x v="0"/>
          </reference>
        </references>
      </pivotArea>
    </chartFormat>
    <chartFormat chart="5" format="27">
      <pivotArea type="data" outline="0" fieldPosition="0">
        <references count="2">
          <reference field="4294967294" count="1" selected="0">
            <x v="0"/>
          </reference>
          <reference field="1" count="1" selected="0">
            <x v="0"/>
          </reference>
        </references>
      </pivotArea>
    </chartFormat>
    <chartFormat chart="5" format="28">
      <pivotArea type="data" outline="0" fieldPosition="0">
        <references count="2">
          <reference field="4294967294" count="1" selected="0">
            <x v="0"/>
          </reference>
          <reference field="1" count="1" selected="0">
            <x v="4"/>
          </reference>
        </references>
      </pivotArea>
    </chartFormat>
    <chartFormat chart="5" format="29">
      <pivotArea type="data" outline="0" fieldPosition="0">
        <references count="2">
          <reference field="4294967294" count="1" selected="0">
            <x v="0"/>
          </reference>
          <reference field="1" count="1" selected="0">
            <x v="19"/>
          </reference>
        </references>
      </pivotArea>
    </chartFormat>
    <chartFormat chart="5" format="30">
      <pivotArea type="data" outline="0" fieldPosition="0">
        <references count="2">
          <reference field="4294967294" count="1" selected="0">
            <x v="0"/>
          </reference>
          <reference field="1" count="1" selected="0">
            <x v="20"/>
          </reference>
        </references>
      </pivotArea>
    </chartFormat>
    <chartFormat chart="5" format="31">
      <pivotArea type="data" outline="0" fieldPosition="0">
        <references count="2">
          <reference field="4294967294" count="1" selected="0">
            <x v="0"/>
          </reference>
          <reference field="1" count="1" selected="0">
            <x v="21"/>
          </reference>
        </references>
      </pivotArea>
    </chartFormat>
    <chartFormat chart="5" format="32">
      <pivotArea type="data" outline="0" fieldPosition="0">
        <references count="2">
          <reference field="4294967294" count="1" selected="0">
            <x v="0"/>
          </reference>
          <reference field="1" count="1" selected="0">
            <x v="25"/>
          </reference>
        </references>
      </pivotArea>
    </chartFormat>
    <chartFormat chart="5" format="33">
      <pivotArea type="data" outline="0" fieldPosition="0">
        <references count="2">
          <reference field="4294967294" count="1" selected="0">
            <x v="0"/>
          </reference>
          <reference field="1" count="1" selected="0">
            <x v="44"/>
          </reference>
        </references>
      </pivotArea>
    </chartFormat>
    <chartFormat chart="5" format="34">
      <pivotArea type="data" outline="0" fieldPosition="0">
        <references count="2">
          <reference field="4294967294" count="1" selected="0">
            <x v="0"/>
          </reference>
          <reference field="1" count="1" selected="0">
            <x v="53"/>
          </reference>
        </references>
      </pivotArea>
    </chartFormat>
    <chartFormat chart="5" format="35">
      <pivotArea type="data" outline="0" fieldPosition="0">
        <references count="2">
          <reference field="4294967294" count="1" selected="0">
            <x v="0"/>
          </reference>
          <reference field="1" count="1" selected="0">
            <x v="57"/>
          </reference>
        </references>
      </pivotArea>
    </chartFormat>
    <chartFormat chart="5" format="36">
      <pivotArea type="data" outline="0" fieldPosition="0">
        <references count="2">
          <reference field="4294967294" count="1" selected="0">
            <x v="0"/>
          </reference>
          <reference field="1" count="1" selected="0">
            <x v="60"/>
          </reference>
        </references>
      </pivotArea>
    </chartFormat>
    <chartFormat chart="5" format="37">
      <pivotArea type="data" outline="0" fieldPosition="0">
        <references count="2">
          <reference field="4294967294" count="1" selected="0">
            <x v="0"/>
          </reference>
          <reference field="1" count="1" selected="0">
            <x v="85"/>
          </reference>
        </references>
      </pivotArea>
    </chartFormat>
    <chartFormat chart="5" format="38">
      <pivotArea type="data" outline="0" fieldPosition="0">
        <references count="2">
          <reference field="4294967294" count="1" selected="0">
            <x v="0"/>
          </reference>
          <reference field="1" count="1" selected="0">
            <x v="86"/>
          </reference>
        </references>
      </pivotArea>
    </chartFormat>
    <chartFormat chart="5" format="39">
      <pivotArea type="data" outline="0" fieldPosition="0">
        <references count="2">
          <reference field="4294967294" count="1" selected="0">
            <x v="0"/>
          </reference>
          <reference field="1" count="1" selected="0">
            <x v="92"/>
          </reference>
        </references>
      </pivotArea>
    </chartFormat>
    <chartFormat chart="5" format="40">
      <pivotArea type="data" outline="0" fieldPosition="0">
        <references count="2">
          <reference field="4294967294" count="1" selected="0">
            <x v="0"/>
          </reference>
          <reference field="1" count="1" selected="0">
            <x v="98"/>
          </reference>
        </references>
      </pivotArea>
    </chartFormat>
    <chartFormat chart="5" format="41">
      <pivotArea type="data" outline="0" fieldPosition="0">
        <references count="2">
          <reference field="4294967294" count="1" selected="0">
            <x v="0"/>
          </reference>
          <reference field="1" count="1" selected="0">
            <x v="101"/>
          </reference>
        </references>
      </pivotArea>
    </chartFormat>
    <chartFormat chart="5" format="42">
      <pivotArea type="data" outline="0" fieldPosition="0">
        <references count="2">
          <reference field="4294967294" count="1" selected="0">
            <x v="0"/>
          </reference>
          <reference field="1" count="1" selected="0">
            <x v="121"/>
          </reference>
        </references>
      </pivotArea>
    </chartFormat>
    <chartFormat chart="5" format="43">
      <pivotArea type="data" outline="0" fieldPosition="0">
        <references count="2">
          <reference field="4294967294" count="1" selected="0">
            <x v="0"/>
          </reference>
          <reference field="1" count="1" selected="0">
            <x v="145"/>
          </reference>
        </references>
      </pivotArea>
    </chartFormat>
    <chartFormat chart="5" format="44">
      <pivotArea type="data" outline="0" fieldPosition="0">
        <references count="2">
          <reference field="4294967294" count="1" selected="0">
            <x v="0"/>
          </reference>
          <reference field="1" count="1" selected="0">
            <x v="146"/>
          </reference>
        </references>
      </pivotArea>
    </chartFormat>
    <chartFormat chart="0" format="7">
      <pivotArea type="data" outline="0" fieldPosition="0">
        <references count="2">
          <reference field="4294967294" count="1" selected="0">
            <x v="0"/>
          </reference>
          <reference field="1" count="1" selected="0">
            <x v="0"/>
          </reference>
        </references>
      </pivotArea>
    </chartFormat>
    <chartFormat chart="0" format="8">
      <pivotArea type="data" outline="0" fieldPosition="0">
        <references count="2">
          <reference field="4294967294" count="1" selected="0">
            <x v="0"/>
          </reference>
          <reference field="1" count="1" selected="0">
            <x v="4"/>
          </reference>
        </references>
      </pivotArea>
    </chartFormat>
    <chartFormat chart="0" format="9">
      <pivotArea type="data" outline="0" fieldPosition="0">
        <references count="2">
          <reference field="4294967294" count="1" selected="0">
            <x v="0"/>
          </reference>
          <reference field="1" count="1" selected="0">
            <x v="19"/>
          </reference>
        </references>
      </pivotArea>
    </chartFormat>
    <chartFormat chart="0" format="10">
      <pivotArea type="data" outline="0" fieldPosition="0">
        <references count="2">
          <reference field="4294967294" count="1" selected="0">
            <x v="0"/>
          </reference>
          <reference field="1" count="1" selected="0">
            <x v="20"/>
          </reference>
        </references>
      </pivotArea>
    </chartFormat>
    <chartFormat chart="0" format="11">
      <pivotArea type="data" outline="0" fieldPosition="0">
        <references count="2">
          <reference field="4294967294" count="1" selected="0">
            <x v="0"/>
          </reference>
          <reference field="1" count="1" selected="0">
            <x v="21"/>
          </reference>
        </references>
      </pivotArea>
    </chartFormat>
    <chartFormat chart="0" format="12">
      <pivotArea type="data" outline="0" fieldPosition="0">
        <references count="2">
          <reference field="4294967294" count="1" selected="0">
            <x v="0"/>
          </reference>
          <reference field="1" count="1" selected="0">
            <x v="25"/>
          </reference>
        </references>
      </pivotArea>
    </chartFormat>
    <chartFormat chart="0" format="13">
      <pivotArea type="data" outline="0" fieldPosition="0">
        <references count="2">
          <reference field="4294967294" count="1" selected="0">
            <x v="0"/>
          </reference>
          <reference field="1" count="1" selected="0">
            <x v="44"/>
          </reference>
        </references>
      </pivotArea>
    </chartFormat>
    <chartFormat chart="0" format="14">
      <pivotArea type="data" outline="0" fieldPosition="0">
        <references count="2">
          <reference field="4294967294" count="1" selected="0">
            <x v="0"/>
          </reference>
          <reference field="1" count="1" selected="0">
            <x v="53"/>
          </reference>
        </references>
      </pivotArea>
    </chartFormat>
    <chartFormat chart="0" format="15">
      <pivotArea type="data" outline="0" fieldPosition="0">
        <references count="2">
          <reference field="4294967294" count="1" selected="0">
            <x v="0"/>
          </reference>
          <reference field="1" count="1" selected="0">
            <x v="57"/>
          </reference>
        </references>
      </pivotArea>
    </chartFormat>
    <chartFormat chart="0" format="16">
      <pivotArea type="data" outline="0" fieldPosition="0">
        <references count="2">
          <reference field="4294967294" count="1" selected="0">
            <x v="0"/>
          </reference>
          <reference field="1" count="1" selected="0">
            <x v="60"/>
          </reference>
        </references>
      </pivotArea>
    </chartFormat>
    <chartFormat chart="0" format="17">
      <pivotArea type="data" outline="0" fieldPosition="0">
        <references count="2">
          <reference field="4294967294" count="1" selected="0">
            <x v="0"/>
          </reference>
          <reference field="1" count="1" selected="0">
            <x v="85"/>
          </reference>
        </references>
      </pivotArea>
    </chartFormat>
    <chartFormat chart="0" format="18">
      <pivotArea type="data" outline="0" fieldPosition="0">
        <references count="2">
          <reference field="4294967294" count="1" selected="0">
            <x v="0"/>
          </reference>
          <reference field="1" count="1" selected="0">
            <x v="86"/>
          </reference>
        </references>
      </pivotArea>
    </chartFormat>
    <chartFormat chart="0" format="19">
      <pivotArea type="data" outline="0" fieldPosition="0">
        <references count="2">
          <reference field="4294967294" count="1" selected="0">
            <x v="0"/>
          </reference>
          <reference field="1" count="1" selected="0">
            <x v="92"/>
          </reference>
        </references>
      </pivotArea>
    </chartFormat>
    <chartFormat chart="0" format="20">
      <pivotArea type="data" outline="0" fieldPosition="0">
        <references count="2">
          <reference field="4294967294" count="1" selected="0">
            <x v="0"/>
          </reference>
          <reference field="1" count="1" selected="0">
            <x v="98"/>
          </reference>
        </references>
      </pivotArea>
    </chartFormat>
    <chartFormat chart="0" format="21">
      <pivotArea type="data" outline="0" fieldPosition="0">
        <references count="2">
          <reference field="4294967294" count="1" selected="0">
            <x v="0"/>
          </reference>
          <reference field="1" count="1" selected="0">
            <x v="101"/>
          </reference>
        </references>
      </pivotArea>
    </chartFormat>
    <chartFormat chart="0" format="22">
      <pivotArea type="data" outline="0" fieldPosition="0">
        <references count="2">
          <reference field="4294967294" count="1" selected="0">
            <x v="0"/>
          </reference>
          <reference field="1" count="1" selected="0">
            <x v="121"/>
          </reference>
        </references>
      </pivotArea>
    </chartFormat>
    <chartFormat chart="0" format="23">
      <pivotArea type="data" outline="0" fieldPosition="0">
        <references count="2">
          <reference field="4294967294" count="1" selected="0">
            <x v="0"/>
          </reference>
          <reference field="1" count="1" selected="0">
            <x v="145"/>
          </reference>
        </references>
      </pivotArea>
    </chartFormat>
    <chartFormat chart="0" format="24">
      <pivotArea type="data" outline="0" fieldPosition="0">
        <references count="2">
          <reference field="4294967294" count="1" selected="0">
            <x v="0"/>
          </reference>
          <reference field="1" count="1" selected="0">
            <x v="14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C220A5-F215-4C3C-8482-FCF281AA3D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12" firstHeaderRow="1" firstDataRow="1" firstDataCol="1"/>
  <pivotFields count="6">
    <pivotField axis="axisRow" showAll="0" measureFilter="1">
      <items count="34">
        <item x="29"/>
        <item x="15"/>
        <item x="30"/>
        <item x="6"/>
        <item x="17"/>
        <item x="13"/>
        <item x="25"/>
        <item x="26"/>
        <item x="9"/>
        <item x="3"/>
        <item x="27"/>
        <item x="22"/>
        <item x="14"/>
        <item x="5"/>
        <item x="21"/>
        <item x="11"/>
        <item x="20"/>
        <item x="32"/>
        <item x="1"/>
        <item x="0"/>
        <item x="28"/>
        <item x="31"/>
        <item x="8"/>
        <item x="10"/>
        <item x="24"/>
        <item x="16"/>
        <item x="19"/>
        <item x="12"/>
        <item x="23"/>
        <item x="7"/>
        <item x="2"/>
        <item x="4"/>
        <item x="18"/>
        <item t="default"/>
      </items>
    </pivotField>
    <pivotField showAll="0" measureFilter="1">
      <items count="249">
        <item x="237"/>
        <item x="240"/>
        <item x="239"/>
        <item x="236"/>
        <item x="238"/>
        <item x="172"/>
        <item x="173"/>
        <item x="182"/>
        <item x="186"/>
        <item x="178"/>
        <item x="185"/>
        <item x="171"/>
        <item x="179"/>
        <item x="175"/>
        <item x="174"/>
        <item x="177"/>
        <item x="184"/>
        <item x="183"/>
        <item x="181"/>
        <item x="180"/>
        <item x="176"/>
        <item x="241"/>
        <item x="91"/>
        <item x="81"/>
        <item x="82"/>
        <item x="90"/>
        <item x="97"/>
        <item x="102"/>
        <item x="98"/>
        <item x="101"/>
        <item x="99"/>
        <item x="95"/>
        <item x="94"/>
        <item x="87"/>
        <item x="89"/>
        <item x="84"/>
        <item x="93"/>
        <item x="85"/>
        <item x="86"/>
        <item x="100"/>
        <item x="83"/>
        <item x="88"/>
        <item x="96"/>
        <item x="92"/>
        <item x="189"/>
        <item x="192"/>
        <item x="190"/>
        <item x="191"/>
        <item x="164"/>
        <item x="163"/>
        <item x="162"/>
        <item x="166"/>
        <item x="165"/>
        <item x="152"/>
        <item x="158"/>
        <item x="157"/>
        <item x="221"/>
        <item x="225"/>
        <item x="223"/>
        <item x="224"/>
        <item x="220"/>
        <item x="222"/>
        <item x="226"/>
        <item x="227"/>
        <item x="142"/>
        <item x="143"/>
        <item x="141"/>
        <item x="144"/>
        <item x="140"/>
        <item x="54"/>
        <item x="53"/>
        <item x="47"/>
        <item x="56"/>
        <item x="58"/>
        <item x="48"/>
        <item x="50"/>
        <item x="52"/>
        <item x="57"/>
        <item x="59"/>
        <item x="55"/>
        <item x="49"/>
        <item x="60"/>
        <item x="51"/>
        <item x="229"/>
        <item x="228"/>
        <item x="212"/>
        <item x="167"/>
        <item x="170"/>
        <item x="168"/>
        <item x="169"/>
        <item x="76"/>
        <item x="75"/>
        <item x="78"/>
        <item x="79"/>
        <item x="80"/>
        <item x="73"/>
        <item x="74"/>
        <item x="77"/>
        <item x="211"/>
        <item x="210"/>
        <item x="209"/>
        <item x="204"/>
        <item x="207"/>
        <item x="205"/>
        <item x="206"/>
        <item x="208"/>
        <item x="245"/>
        <item x="247"/>
        <item x="246"/>
        <item x="21"/>
        <item x="26"/>
        <item x="27"/>
        <item x="28"/>
        <item x="30"/>
        <item x="25"/>
        <item x="18"/>
        <item x="23"/>
        <item x="22"/>
        <item x="24"/>
        <item x="19"/>
        <item x="29"/>
        <item x="20"/>
        <item x="7"/>
        <item x="4"/>
        <item x="0"/>
        <item x="10"/>
        <item x="14"/>
        <item x="3"/>
        <item x="15"/>
        <item x="8"/>
        <item x="1"/>
        <item x="5"/>
        <item x="12"/>
        <item x="16"/>
        <item x="11"/>
        <item x="13"/>
        <item x="2"/>
        <item x="6"/>
        <item x="17"/>
        <item x="9"/>
        <item x="230"/>
        <item x="235"/>
        <item x="234"/>
        <item x="232"/>
        <item x="231"/>
        <item x="233"/>
        <item x="243"/>
        <item x="242"/>
        <item x="244"/>
        <item x="107"/>
        <item x="130"/>
        <item x="127"/>
        <item x="138"/>
        <item x="133"/>
        <item x="139"/>
        <item x="123"/>
        <item x="126"/>
        <item x="118"/>
        <item x="132"/>
        <item x="137"/>
        <item x="131"/>
        <item x="136"/>
        <item x="129"/>
        <item x="111"/>
        <item x="120"/>
        <item x="112"/>
        <item x="121"/>
        <item x="119"/>
        <item x="135"/>
        <item x="122"/>
        <item x="128"/>
        <item x="124"/>
        <item x="108"/>
        <item x="110"/>
        <item x="109"/>
        <item x="115"/>
        <item x="113"/>
        <item x="134"/>
        <item x="117"/>
        <item x="114"/>
        <item x="125"/>
        <item x="116"/>
        <item x="149"/>
        <item x="147"/>
        <item x="151"/>
        <item x="146"/>
        <item x="150"/>
        <item x="145"/>
        <item x="148"/>
        <item x="216"/>
        <item x="218"/>
        <item x="217"/>
        <item x="219"/>
        <item x="187"/>
        <item x="188"/>
        <item x="197"/>
        <item x="198"/>
        <item x="202"/>
        <item x="199"/>
        <item x="203"/>
        <item x="200"/>
        <item x="201"/>
        <item x="155"/>
        <item x="156"/>
        <item x="154"/>
        <item x="153"/>
        <item x="161"/>
        <item x="160"/>
        <item x="159"/>
        <item x="214"/>
        <item x="213"/>
        <item x="215"/>
        <item x="106"/>
        <item x="105"/>
        <item x="103"/>
        <item x="104"/>
        <item x="32"/>
        <item x="37"/>
        <item x="39"/>
        <item x="35"/>
        <item x="31"/>
        <item x="46"/>
        <item x="33"/>
        <item x="40"/>
        <item x="34"/>
        <item x="41"/>
        <item x="38"/>
        <item x="36"/>
        <item x="42"/>
        <item x="45"/>
        <item x="43"/>
        <item x="44"/>
        <item x="69"/>
        <item x="64"/>
        <item x="70"/>
        <item x="63"/>
        <item x="68"/>
        <item x="65"/>
        <item x="66"/>
        <item x="72"/>
        <item x="71"/>
        <item x="61"/>
        <item x="62"/>
        <item x="67"/>
        <item x="196"/>
        <item x="194"/>
        <item x="193"/>
        <item x="195"/>
        <item t="default"/>
      </items>
    </pivotField>
    <pivotField showAll="0"/>
    <pivotField showAll="0"/>
    <pivotField showAll="0"/>
    <pivotField dataField="1" showAll="0"/>
  </pivotFields>
  <rowFields count="1">
    <field x="0"/>
  </rowFields>
  <rowItems count="11">
    <i>
      <x v="3"/>
    </i>
    <i>
      <x v="8"/>
    </i>
    <i>
      <x v="9"/>
    </i>
    <i>
      <x v="13"/>
    </i>
    <i>
      <x v="18"/>
    </i>
    <i>
      <x v="19"/>
    </i>
    <i>
      <x v="22"/>
    </i>
    <i>
      <x v="29"/>
    </i>
    <i>
      <x v="30"/>
    </i>
    <i>
      <x v="31"/>
    </i>
    <i t="grand">
      <x/>
    </i>
  </rowItems>
  <colItems count="1">
    <i/>
  </colItems>
  <dataFields count="1">
    <dataField name="Sum of Sales" fld="5"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8"/>
          </reference>
        </references>
      </pivotArea>
    </chartFormat>
    <chartFormat chart="0" format="3">
      <pivotArea type="data" outline="0" fieldPosition="0">
        <references count="2">
          <reference field="4294967294" count="1" selected="0">
            <x v="0"/>
          </reference>
          <reference field="0" count="1" selected="0">
            <x v="9"/>
          </reference>
        </references>
      </pivotArea>
    </chartFormat>
    <chartFormat chart="0" format="4">
      <pivotArea type="data" outline="0" fieldPosition="0">
        <references count="2">
          <reference field="4294967294" count="1" selected="0">
            <x v="0"/>
          </reference>
          <reference field="0" count="1" selected="0">
            <x v="13"/>
          </reference>
        </references>
      </pivotArea>
    </chartFormat>
    <chartFormat chart="0" format="5">
      <pivotArea type="data" outline="0" fieldPosition="0">
        <references count="2">
          <reference field="4294967294" count="1" selected="0">
            <x v="0"/>
          </reference>
          <reference field="0" count="1" selected="0">
            <x v="18"/>
          </reference>
        </references>
      </pivotArea>
    </chartFormat>
    <chartFormat chart="0" format="6">
      <pivotArea type="data" outline="0" fieldPosition="0">
        <references count="2">
          <reference field="4294967294" count="1" selected="0">
            <x v="0"/>
          </reference>
          <reference field="0" count="1" selected="0">
            <x v="19"/>
          </reference>
        </references>
      </pivotArea>
    </chartFormat>
    <chartFormat chart="0" format="7">
      <pivotArea type="data" outline="0" fieldPosition="0">
        <references count="2">
          <reference field="4294967294" count="1" selected="0">
            <x v="0"/>
          </reference>
          <reference field="0" count="1" selected="0">
            <x v="22"/>
          </reference>
        </references>
      </pivotArea>
    </chartFormat>
    <chartFormat chart="0" format="8">
      <pivotArea type="data" outline="0" fieldPosition="0">
        <references count="2">
          <reference field="4294967294" count="1" selected="0">
            <x v="0"/>
          </reference>
          <reference field="0" count="1" selected="0">
            <x v="29"/>
          </reference>
        </references>
      </pivotArea>
    </chartFormat>
    <chartFormat chart="0" format="9">
      <pivotArea type="data" outline="0" fieldPosition="0">
        <references count="2">
          <reference field="4294967294" count="1" selected="0">
            <x v="0"/>
          </reference>
          <reference field="0" count="1" selected="0">
            <x v="30"/>
          </reference>
        </references>
      </pivotArea>
    </chartFormat>
    <chartFormat chart="0" format="10">
      <pivotArea type="data" outline="0" fieldPosition="0">
        <references count="2">
          <reference field="4294967294" count="1" selected="0">
            <x v="0"/>
          </reference>
          <reference field="0" count="1" selected="0">
            <x v="31"/>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0" count="1" selected="0">
            <x v="3"/>
          </reference>
        </references>
      </pivotArea>
    </chartFormat>
    <chartFormat chart="7" format="24">
      <pivotArea type="data" outline="0" fieldPosition="0">
        <references count="2">
          <reference field="4294967294" count="1" selected="0">
            <x v="0"/>
          </reference>
          <reference field="0" count="1" selected="0">
            <x v="8"/>
          </reference>
        </references>
      </pivotArea>
    </chartFormat>
    <chartFormat chart="7" format="25">
      <pivotArea type="data" outline="0" fieldPosition="0">
        <references count="2">
          <reference field="4294967294" count="1" selected="0">
            <x v="0"/>
          </reference>
          <reference field="0" count="1" selected="0">
            <x v="9"/>
          </reference>
        </references>
      </pivotArea>
    </chartFormat>
    <chartFormat chart="7" format="26">
      <pivotArea type="data" outline="0" fieldPosition="0">
        <references count="2">
          <reference field="4294967294" count="1" selected="0">
            <x v="0"/>
          </reference>
          <reference field="0" count="1" selected="0">
            <x v="13"/>
          </reference>
        </references>
      </pivotArea>
    </chartFormat>
    <chartFormat chart="7" format="27">
      <pivotArea type="data" outline="0" fieldPosition="0">
        <references count="2">
          <reference field="4294967294" count="1" selected="0">
            <x v="0"/>
          </reference>
          <reference field="0" count="1" selected="0">
            <x v="18"/>
          </reference>
        </references>
      </pivotArea>
    </chartFormat>
    <chartFormat chart="7" format="28">
      <pivotArea type="data" outline="0" fieldPosition="0">
        <references count="2">
          <reference field="4294967294" count="1" selected="0">
            <x v="0"/>
          </reference>
          <reference field="0" count="1" selected="0">
            <x v="19"/>
          </reference>
        </references>
      </pivotArea>
    </chartFormat>
    <chartFormat chart="7" format="29">
      <pivotArea type="data" outline="0" fieldPosition="0">
        <references count="2">
          <reference field="4294967294" count="1" selected="0">
            <x v="0"/>
          </reference>
          <reference field="0" count="1" selected="0">
            <x v="22"/>
          </reference>
        </references>
      </pivotArea>
    </chartFormat>
    <chartFormat chart="7" format="30">
      <pivotArea type="data" outline="0" fieldPosition="0">
        <references count="2">
          <reference field="4294967294" count="1" selected="0">
            <x v="0"/>
          </reference>
          <reference field="0" count="1" selected="0">
            <x v="29"/>
          </reference>
        </references>
      </pivotArea>
    </chartFormat>
    <chartFormat chart="7" format="31">
      <pivotArea type="data" outline="0" fieldPosition="0">
        <references count="2">
          <reference field="4294967294" count="1" selected="0">
            <x v="0"/>
          </reference>
          <reference field="0" count="1" selected="0">
            <x v="30"/>
          </reference>
        </references>
      </pivotArea>
    </chartFormat>
    <chartFormat chart="7" format="32">
      <pivotArea type="data" outline="0" fieldPosition="0">
        <references count="2">
          <reference field="4294967294" count="1" selected="0">
            <x v="0"/>
          </reference>
          <reference field="0" count="1" selected="0">
            <x v="31"/>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10" filterVal="10"/>
        </filterColumn>
      </autoFilter>
    </filter>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FAEEA85-D39B-44A4-AD6E-6428CA91DC0E}" sourceName="Brand">
  <pivotTables>
    <pivotTable tabId="3" name="PivotTable1"/>
  </pivotTables>
  <data>
    <tabular pivotCacheId="1137592425">
      <items count="33">
        <i x="29" s="1"/>
        <i x="15" s="1"/>
        <i x="30" s="1"/>
        <i x="6" s="1"/>
        <i x="17" s="1"/>
        <i x="13" s="1"/>
        <i x="25" s="1"/>
        <i x="26" s="1"/>
        <i x="9" s="1"/>
        <i x="3" s="1"/>
        <i x="27" s="1"/>
        <i x="22" s="1"/>
        <i x="14" s="1"/>
        <i x="5" s="1"/>
        <i x="21" s="1"/>
        <i x="11" s="1"/>
        <i x="20" s="1"/>
        <i x="32" s="1"/>
        <i x="1" s="1"/>
        <i x="0" s="1"/>
        <i x="28" s="1"/>
        <i x="31" s="1"/>
        <i x="8" s="1"/>
        <i x="10" s="1"/>
        <i x="24" s="1"/>
        <i x="16" s="1"/>
        <i x="19" s="1"/>
        <i x="12" s="1"/>
        <i x="23" s="1"/>
        <i x="7" s="1"/>
        <i x="2" s="1"/>
        <i x="4" s="1"/>
        <i x="18"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Name" xr10:uid="{A9991BE0-64A6-49AC-A474-94ECF3CB8D88}" sourceName="Car Name">
  <pivotTables>
    <pivotTable tabId="5" name="PivotTable2"/>
  </pivotTables>
  <data>
    <tabular pivotCacheId="1137592425">
      <items count="248">
        <i x="237" s="1"/>
        <i x="240" s="1"/>
        <i x="239" s="1"/>
        <i x="236" s="1"/>
        <i x="238" s="1"/>
        <i x="172" s="1"/>
        <i x="173" s="1"/>
        <i x="182" s="1"/>
        <i x="186" s="1"/>
        <i x="178" s="1"/>
        <i x="185" s="1"/>
        <i x="171" s="1"/>
        <i x="179" s="1"/>
        <i x="175" s="1"/>
        <i x="174" s="1"/>
        <i x="177" s="1"/>
        <i x="184" s="1"/>
        <i x="183" s="1"/>
        <i x="181" s="1"/>
        <i x="180" s="1"/>
        <i x="176" s="1"/>
        <i x="241" s="1"/>
        <i x="91" s="1"/>
        <i x="81" s="1"/>
        <i x="82" s="1"/>
        <i x="90" s="1"/>
        <i x="97" s="1"/>
        <i x="102" s="1"/>
        <i x="98" s="1"/>
        <i x="101" s="1"/>
        <i x="99" s="1"/>
        <i x="95" s="1"/>
        <i x="94" s="1"/>
        <i x="87" s="1"/>
        <i x="89" s="1"/>
        <i x="84" s="1"/>
        <i x="93" s="1"/>
        <i x="85" s="1"/>
        <i x="86" s="1"/>
        <i x="100" s="1"/>
        <i x="83" s="1"/>
        <i x="88" s="1"/>
        <i x="96" s="1"/>
        <i x="92" s="1"/>
        <i x="189" s="1"/>
        <i x="192" s="1"/>
        <i x="190" s="1"/>
        <i x="191" s="1"/>
        <i x="164" s="1"/>
        <i x="163" s="1"/>
        <i x="162" s="1"/>
        <i x="166" s="1"/>
        <i x="165" s="1"/>
        <i x="152" s="1"/>
        <i x="158" s="1"/>
        <i x="157" s="1"/>
        <i x="221" s="1"/>
        <i x="225" s="1"/>
        <i x="223" s="1"/>
        <i x="224" s="1"/>
        <i x="220" s="1"/>
        <i x="222" s="1"/>
        <i x="226" s="1"/>
        <i x="227" s="1"/>
        <i x="142" s="1"/>
        <i x="143" s="1"/>
        <i x="141" s="1"/>
        <i x="144" s="1"/>
        <i x="140" s="1"/>
        <i x="54" s="1"/>
        <i x="53" s="1"/>
        <i x="47" s="1"/>
        <i x="56" s="1"/>
        <i x="58" s="1"/>
        <i x="48" s="1"/>
        <i x="50" s="1"/>
        <i x="52" s="1"/>
        <i x="57" s="1"/>
        <i x="59" s="1"/>
        <i x="55" s="1"/>
        <i x="49" s="1"/>
        <i x="60" s="1"/>
        <i x="51" s="1"/>
        <i x="229" s="1"/>
        <i x="228" s="1"/>
        <i x="212" s="1"/>
        <i x="167" s="1"/>
        <i x="170" s="1"/>
        <i x="168" s="1"/>
        <i x="169" s="1"/>
        <i x="76" s="1"/>
        <i x="75" s="1"/>
        <i x="78" s="1"/>
        <i x="79" s="1"/>
        <i x="80" s="1"/>
        <i x="73" s="1"/>
        <i x="74" s="1"/>
        <i x="77" s="1"/>
        <i x="211" s="1"/>
        <i x="210" s="1"/>
        <i x="209" s="1"/>
        <i x="204" s="1"/>
        <i x="207" s="1"/>
        <i x="205" s="1"/>
        <i x="206" s="1"/>
        <i x="208" s="1"/>
        <i x="245" s="1"/>
        <i x="247" s="1"/>
        <i x="246" s="1"/>
        <i x="21" s="1"/>
        <i x="26" s="1"/>
        <i x="27" s="1"/>
        <i x="28" s="1"/>
        <i x="30" s="1"/>
        <i x="25" s="1"/>
        <i x="18" s="1"/>
        <i x="23" s="1"/>
        <i x="22" s="1"/>
        <i x="24" s="1"/>
        <i x="19" s="1"/>
        <i x="29" s="1"/>
        <i x="20" s="1"/>
        <i x="7" s="1"/>
        <i x="4" s="1"/>
        <i x="0" s="1"/>
        <i x="10" s="1"/>
        <i x="14" s="1"/>
        <i x="3" s="1"/>
        <i x="15" s="1"/>
        <i x="8" s="1"/>
        <i x="1" s="1"/>
        <i x="5" s="1"/>
        <i x="12" s="1"/>
        <i x="16" s="1"/>
        <i x="11" s="1"/>
        <i x="13" s="1"/>
        <i x="2" s="1"/>
        <i x="6" s="1"/>
        <i x="17" s="1"/>
        <i x="9" s="1"/>
        <i x="230" s="1"/>
        <i x="235" s="1"/>
        <i x="234" s="1"/>
        <i x="232" s="1"/>
        <i x="231" s="1"/>
        <i x="233" s="1"/>
        <i x="243" s="1"/>
        <i x="242" s="1"/>
        <i x="244" s="1"/>
        <i x="107" s="1"/>
        <i x="130" s="1"/>
        <i x="127" s="1"/>
        <i x="138" s="1"/>
        <i x="133" s="1"/>
        <i x="139" s="1"/>
        <i x="123" s="1"/>
        <i x="126" s="1"/>
        <i x="118" s="1"/>
        <i x="132" s="1"/>
        <i x="137" s="1"/>
        <i x="131" s="1"/>
        <i x="136" s="1"/>
        <i x="129" s="1"/>
        <i x="111" s="1"/>
        <i x="120" s="1"/>
        <i x="112" s="1"/>
        <i x="121" s="1"/>
        <i x="119" s="1"/>
        <i x="135" s="1"/>
        <i x="122" s="1"/>
        <i x="128" s="1"/>
        <i x="124" s="1"/>
        <i x="108" s="1"/>
        <i x="110" s="1"/>
        <i x="109" s="1"/>
        <i x="115" s="1"/>
        <i x="113" s="1"/>
        <i x="134" s="1"/>
        <i x="117" s="1"/>
        <i x="114" s="1"/>
        <i x="125" s="1"/>
        <i x="116" s="1"/>
        <i x="149" s="1"/>
        <i x="147" s="1"/>
        <i x="151" s="1"/>
        <i x="146" s="1"/>
        <i x="150" s="1"/>
        <i x="145" s="1"/>
        <i x="148" s="1"/>
        <i x="216" s="1"/>
        <i x="218" s="1"/>
        <i x="217" s="1"/>
        <i x="219" s="1"/>
        <i x="187" s="1"/>
        <i x="188" s="1"/>
        <i x="197" s="1"/>
        <i x="198" s="1"/>
        <i x="202" s="1"/>
        <i x="199" s="1"/>
        <i x="203" s="1"/>
        <i x="200" s="1"/>
        <i x="201" s="1"/>
        <i x="155" s="1"/>
        <i x="156" s="1"/>
        <i x="154" s="1"/>
        <i x="153" s="1"/>
        <i x="161" s="1"/>
        <i x="160" s="1"/>
        <i x="159" s="1"/>
        <i x="214" s="1"/>
        <i x="213" s="1"/>
        <i x="215" s="1"/>
        <i x="106" s="1"/>
        <i x="105" s="1"/>
        <i x="103" s="1"/>
        <i x="104" s="1"/>
        <i x="32" s="1"/>
        <i x="37" s="1"/>
        <i x="39" s="1"/>
        <i x="35" s="1"/>
        <i x="31" s="1"/>
        <i x="46" s="1"/>
        <i x="33" s="1"/>
        <i x="40" s="1"/>
        <i x="34" s="1"/>
        <i x="41" s="1"/>
        <i x="38" s="1"/>
        <i x="36" s="1"/>
        <i x="42" s="1"/>
        <i x="45" s="1"/>
        <i x="43" s="1"/>
        <i x="44" s="1"/>
        <i x="69" s="1"/>
        <i x="64" s="1"/>
        <i x="70" s="1"/>
        <i x="63" s="1"/>
        <i x="68" s="1"/>
        <i x="65" s="1"/>
        <i x="66" s="1"/>
        <i x="72" s="1"/>
        <i x="71" s="1"/>
        <i x="61" s="1"/>
        <i x="62" s="1"/>
        <i x="67" s="1"/>
        <i x="196" s="1"/>
        <i x="194" s="1"/>
        <i x="193" s="1"/>
        <i x="195"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Name1" xr10:uid="{B375643F-DCF5-43D8-BE54-ADA9E81FD2F0}" sourceName="Car Name">
  <pivotTables>
    <pivotTable tabId="6" name="PivotTable3"/>
  </pivotTables>
  <data>
    <tabular pivotCacheId="1137592425">
      <items count="248">
        <i x="237" s="1"/>
        <i x="240" s="1"/>
        <i x="239" s="1"/>
        <i x="236" s="1"/>
        <i x="238" s="1"/>
        <i x="172" s="1"/>
        <i x="173" s="1"/>
        <i x="182" s="1"/>
        <i x="186" s="1"/>
        <i x="178" s="1"/>
        <i x="185" s="1"/>
        <i x="171" s="1"/>
        <i x="179" s="1"/>
        <i x="175" s="1"/>
        <i x="174" s="1"/>
        <i x="177" s="1"/>
        <i x="184" s="1"/>
        <i x="183" s="1"/>
        <i x="181" s="1"/>
        <i x="180" s="1"/>
        <i x="176" s="1"/>
        <i x="241" s="1"/>
        <i x="91" s="1"/>
        <i x="81" s="1"/>
        <i x="82" s="1"/>
        <i x="90" s="1"/>
        <i x="97" s="1"/>
        <i x="102" s="1"/>
        <i x="98" s="1"/>
        <i x="101" s="1"/>
        <i x="99" s="1"/>
        <i x="95" s="1"/>
        <i x="94" s="1"/>
        <i x="87" s="1"/>
        <i x="89" s="1"/>
        <i x="84" s="1"/>
        <i x="93" s="1"/>
        <i x="85" s="1"/>
        <i x="86" s="1"/>
        <i x="100" s="1"/>
        <i x="83" s="1"/>
        <i x="88" s="1"/>
        <i x="96" s="1"/>
        <i x="92" s="1"/>
        <i x="189" s="1"/>
        <i x="192" s="1"/>
        <i x="190" s="1"/>
        <i x="191" s="1"/>
        <i x="164" s="1"/>
        <i x="163" s="1"/>
        <i x="162" s="1"/>
        <i x="166" s="1"/>
        <i x="165" s="1"/>
        <i x="152" s="1"/>
        <i x="158" s="1"/>
        <i x="157" s="1"/>
        <i x="221" s="1"/>
        <i x="225" s="1"/>
        <i x="223" s="1"/>
        <i x="224" s="1"/>
        <i x="220" s="1"/>
        <i x="222" s="1"/>
        <i x="226" s="1"/>
        <i x="227" s="1"/>
        <i x="142" s="1"/>
        <i x="143" s="1"/>
        <i x="141" s="1"/>
        <i x="144" s="1"/>
        <i x="140" s="1"/>
        <i x="54" s="1"/>
        <i x="53" s="1"/>
        <i x="47" s="1"/>
        <i x="56" s="1"/>
        <i x="58" s="1"/>
        <i x="48" s="1"/>
        <i x="50" s="1"/>
        <i x="52" s="1"/>
        <i x="57" s="1"/>
        <i x="59" s="1"/>
        <i x="55" s="1"/>
        <i x="49" s="1"/>
        <i x="60" s="1"/>
        <i x="51" s="1"/>
        <i x="229" s="1"/>
        <i x="228" s="1"/>
        <i x="212" s="1"/>
        <i x="167" s="1"/>
        <i x="170" s="1"/>
        <i x="168" s="1"/>
        <i x="169" s="1"/>
        <i x="76" s="1"/>
        <i x="75" s="1"/>
        <i x="78" s="1"/>
        <i x="79" s="1"/>
        <i x="80" s="1"/>
        <i x="73" s="1"/>
        <i x="74" s="1"/>
        <i x="77" s="1"/>
        <i x="211" s="1"/>
        <i x="210" s="1"/>
        <i x="209" s="1"/>
        <i x="204" s="1"/>
        <i x="207" s="1"/>
        <i x="205" s="1"/>
        <i x="206" s="1"/>
        <i x="208" s="1"/>
        <i x="245" s="1"/>
        <i x="247" s="1"/>
        <i x="246" s="1"/>
        <i x="21" s="1"/>
        <i x="26" s="1"/>
        <i x="27" s="1"/>
        <i x="28" s="1"/>
        <i x="30" s="1"/>
        <i x="25" s="1"/>
        <i x="18" s="1"/>
        <i x="23" s="1"/>
        <i x="22" s="1"/>
        <i x="24" s="1"/>
        <i x="19" s="1"/>
        <i x="29" s="1"/>
        <i x="20" s="1"/>
        <i x="7" s="1"/>
        <i x="4" s="1"/>
        <i x="0" s="1"/>
        <i x="10" s="1"/>
        <i x="14" s="1"/>
        <i x="3" s="1"/>
        <i x="15" s="1"/>
        <i x="8" s="1"/>
        <i x="1" s="1"/>
        <i x="5" s="1"/>
        <i x="12" s="1"/>
        <i x="16" s="1"/>
        <i x="11" s="1"/>
        <i x="13" s="1"/>
        <i x="2" s="1"/>
        <i x="6" s="1"/>
        <i x="17" s="1"/>
        <i x="9" s="1"/>
        <i x="230" s="1"/>
        <i x="235" s="1"/>
        <i x="234" s="1"/>
        <i x="232" s="1"/>
        <i x="231" s="1"/>
        <i x="233" s="1"/>
        <i x="243" s="1"/>
        <i x="242" s="1"/>
        <i x="244" s="1"/>
        <i x="107" s="1"/>
        <i x="130" s="1"/>
        <i x="127" s="1"/>
        <i x="138" s="1"/>
        <i x="133" s="1"/>
        <i x="139" s="1"/>
        <i x="123" s="1"/>
        <i x="126" s="1"/>
        <i x="118" s="1"/>
        <i x="132" s="1"/>
        <i x="137" s="1"/>
        <i x="131" s="1"/>
        <i x="136" s="1"/>
        <i x="129" s="1"/>
        <i x="111" s="1"/>
        <i x="120" s="1"/>
        <i x="112" s="1"/>
        <i x="121" s="1"/>
        <i x="119" s="1"/>
        <i x="135" s="1"/>
        <i x="122" s="1"/>
        <i x="128" s="1"/>
        <i x="124" s="1"/>
        <i x="108" s="1"/>
        <i x="110" s="1"/>
        <i x="109" s="1"/>
        <i x="115" s="1"/>
        <i x="113" s="1"/>
        <i x="134" s="1"/>
        <i x="117" s="1"/>
        <i x="114" s="1"/>
        <i x="125" s="1"/>
        <i x="116" s="1"/>
        <i x="149" s="1"/>
        <i x="147" s="1"/>
        <i x="151" s="1"/>
        <i x="146" s="1"/>
        <i x="150" s="1"/>
        <i x="145" s="1"/>
        <i x="148" s="1"/>
        <i x="216" s="1"/>
        <i x="218" s="1"/>
        <i x="217" s="1"/>
        <i x="219" s="1"/>
        <i x="187" s="1"/>
        <i x="188" s="1"/>
        <i x="197" s="1"/>
        <i x="198" s="1"/>
        <i x="202" s="1"/>
        <i x="199" s="1"/>
        <i x="203" s="1"/>
        <i x="200" s="1"/>
        <i x="201" s="1"/>
        <i x="155" s="1"/>
        <i x="156" s="1"/>
        <i x="154" s="1"/>
        <i x="153" s="1"/>
        <i x="161" s="1"/>
        <i x="160" s="1"/>
        <i x="159" s="1"/>
        <i x="214" s="1"/>
        <i x="213" s="1"/>
        <i x="215" s="1"/>
        <i x="106" s="1"/>
        <i x="105" s="1"/>
        <i x="103" s="1"/>
        <i x="104" s="1"/>
        <i x="32" s="1"/>
        <i x="37" s="1"/>
        <i x="39" s="1"/>
        <i x="35" s="1"/>
        <i x="31" s="1"/>
        <i x="46" s="1"/>
        <i x="33" s="1"/>
        <i x="40" s="1"/>
        <i x="34" s="1"/>
        <i x="41" s="1"/>
        <i x="38" s="1"/>
        <i x="36" s="1"/>
        <i x="42" s="1"/>
        <i x="45" s="1"/>
        <i x="43" s="1"/>
        <i x="44" s="1"/>
        <i x="69" s="1"/>
        <i x="64" s="1"/>
        <i x="70" s="1"/>
        <i x="63" s="1"/>
        <i x="68" s="1"/>
        <i x="65" s="1"/>
        <i x="66" s="1"/>
        <i x="72" s="1"/>
        <i x="71" s="1"/>
        <i x="61" s="1"/>
        <i x="62" s="1"/>
        <i x="67" s="1"/>
        <i x="196" s="1"/>
        <i x="194" s="1"/>
        <i x="193" s="1"/>
        <i x="195"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1" xr10:uid="{4480B8F2-6F35-46F6-9C9D-6550BB8A7A0F}" sourceName="Brand">
  <pivotTables>
    <pivotTable tabId="7" name="PivotTable16"/>
  </pivotTables>
  <data>
    <tabular pivotCacheId="1137592425">
      <items count="33">
        <i x="29" s="1"/>
        <i x="15" s="1"/>
        <i x="30" s="1"/>
        <i x="6" s="1"/>
        <i x="17" s="1"/>
        <i x="25" s="1"/>
        <i x="22" s="1"/>
        <i x="14" s="1"/>
        <i x="5" s="1"/>
        <i x="21" s="1"/>
        <i x="11" s="1"/>
        <i x="20" s="1"/>
        <i x="1" s="1"/>
        <i x="28" s="1"/>
        <i x="31" s="1"/>
        <i x="13" s="1" nd="1"/>
        <i x="26" s="1" nd="1"/>
        <i x="9" s="1" nd="1"/>
        <i x="3" s="1" nd="1"/>
        <i x="27" s="1" nd="1"/>
        <i x="32" s="1" nd="1"/>
        <i x="0" s="1" nd="1"/>
        <i x="8" s="1" nd="1"/>
        <i x="10" s="1" nd="1"/>
        <i x="24" s="1" nd="1"/>
        <i x="16" s="1" nd="1"/>
        <i x="19" s="1" nd="1"/>
        <i x="12" s="1" nd="1"/>
        <i x="23" s="1" nd="1"/>
        <i x="7" s="1" nd="1"/>
        <i x="2" s="1" nd="1"/>
        <i x="4" s="1" nd="1"/>
        <i x="18"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2" xr10:uid="{12862921-A95C-4519-985B-52427BC8AAF1}" sourceName="Brand">
  <pivotTables>
    <pivotTable tabId="8" name="PivotTable1"/>
  </pivotTables>
  <data>
    <tabular pivotCacheId="1137592425">
      <items count="33">
        <i x="29" s="1"/>
        <i x="15" s="1"/>
        <i x="30" s="1"/>
        <i x="6" s="1"/>
        <i x="17" s="1"/>
        <i x="13" s="1"/>
        <i x="25" s="1"/>
        <i x="26" s="1"/>
        <i x="9" s="1"/>
        <i x="3" s="1"/>
        <i x="27" s="1"/>
        <i x="22" s="1"/>
        <i x="14" s="1"/>
        <i x="5" s="1"/>
        <i x="21" s="1"/>
        <i x="11" s="1"/>
        <i x="20" s="1"/>
        <i x="32" s="1"/>
        <i x="1" s="1"/>
        <i x="0" s="1"/>
        <i x="28" s="1"/>
        <i x="31" s="1"/>
        <i x="8" s="1"/>
        <i x="10" s="1"/>
        <i x="24" s="1"/>
        <i x="16" s="1"/>
        <i x="19" s="1"/>
        <i x="12" s="1"/>
        <i x="23" s="1"/>
        <i x="7" s="1"/>
        <i x="2" s="1"/>
        <i x="4" s="1"/>
        <i x="1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6CAF13DE-AD34-471D-965D-ABD283B78C05}" cache="Slicer_Brand" caption="Brand" showCaption="0" rowHeight="234950"/>
  <slicer name="Car Name" xr10:uid="{1E3BE0D1-2779-45FA-8951-BDF3EFF73FC5}" cache="Slicer_Car_Name" caption="Car Name" rowHeight="234950"/>
  <slicer name="Car Name 1" xr10:uid="{37E8BED5-0175-4605-9038-1A22B0E05471}" cache="Slicer_Car_Name1" caption="Car Name" startItem="16" showCaption="0" rowHeight="234950"/>
  <slicer name="Brand 1" xr10:uid="{7AFF8A14-7477-4E24-B974-9159C1CEA19C}" cache="Slicer_Brand1" caption="Brand" showCaption="0" rowHeight="234950"/>
  <slicer name="Brand 2" xr10:uid="{832C37B3-00DE-41DD-A41E-D665D6C953CD}" cache="Slicer_Brand2" caption="Brand" showCaption="0"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D26A-D944-49C0-8630-799BAD17AD65}">
  <sheetPr codeName="Sheet1"/>
  <dimension ref="A1:B35"/>
  <sheetViews>
    <sheetView workbookViewId="0">
      <selection activeCell="B9" sqref="B9"/>
    </sheetView>
  </sheetViews>
  <sheetFormatPr defaultRowHeight="14.4" x14ac:dyDescent="0.3"/>
  <cols>
    <col min="1" max="1" width="13.6640625" bestFit="1" customWidth="1"/>
    <col min="2" max="2" width="17.21875" bestFit="1" customWidth="1"/>
  </cols>
  <sheetData>
    <row r="1" spans="1:2" x14ac:dyDescent="0.3">
      <c r="A1" s="1" t="s">
        <v>287</v>
      </c>
      <c r="B1" t="s">
        <v>289</v>
      </c>
    </row>
    <row r="2" spans="1:2" x14ac:dyDescent="0.3">
      <c r="A2" s="2" t="s">
        <v>35</v>
      </c>
      <c r="B2">
        <v>5</v>
      </c>
    </row>
    <row r="3" spans="1:2" x14ac:dyDescent="0.3">
      <c r="A3" s="2" t="s">
        <v>21</v>
      </c>
      <c r="B3">
        <v>16</v>
      </c>
    </row>
    <row r="4" spans="1:2" x14ac:dyDescent="0.3">
      <c r="A4" s="2" t="s">
        <v>36</v>
      </c>
      <c r="B4">
        <v>1</v>
      </c>
    </row>
    <row r="5" spans="1:2" x14ac:dyDescent="0.3">
      <c r="A5" s="2" t="s">
        <v>12</v>
      </c>
      <c r="B5">
        <v>22</v>
      </c>
    </row>
    <row r="6" spans="1:2" x14ac:dyDescent="0.3">
      <c r="A6" s="2" t="s">
        <v>23</v>
      </c>
      <c r="B6">
        <v>4</v>
      </c>
    </row>
    <row r="7" spans="1:2" x14ac:dyDescent="0.3">
      <c r="A7" s="2" t="s">
        <v>19</v>
      </c>
      <c r="B7">
        <v>5</v>
      </c>
    </row>
    <row r="8" spans="1:2" x14ac:dyDescent="0.3">
      <c r="A8" s="2" t="s">
        <v>31</v>
      </c>
      <c r="B8">
        <v>6</v>
      </c>
    </row>
    <row r="9" spans="1:2" x14ac:dyDescent="0.3">
      <c r="A9" s="2" t="s">
        <v>32</v>
      </c>
      <c r="B9">
        <v>2</v>
      </c>
    </row>
    <row r="10" spans="1:2" x14ac:dyDescent="0.3">
      <c r="A10" s="2" t="s">
        <v>15</v>
      </c>
      <c r="B10">
        <v>5</v>
      </c>
    </row>
    <row r="11" spans="1:2" x14ac:dyDescent="0.3">
      <c r="A11" s="2" t="s">
        <v>9</v>
      </c>
      <c r="B11">
        <v>14</v>
      </c>
    </row>
    <row r="12" spans="1:2" x14ac:dyDescent="0.3">
      <c r="A12" s="2" t="s">
        <v>33</v>
      </c>
      <c r="B12">
        <v>2</v>
      </c>
    </row>
    <row r="13" spans="1:2" x14ac:dyDescent="0.3">
      <c r="A13" s="2" t="s">
        <v>28</v>
      </c>
      <c r="B13">
        <v>1</v>
      </c>
    </row>
    <row r="14" spans="1:2" x14ac:dyDescent="0.3">
      <c r="A14" s="2" t="s">
        <v>20</v>
      </c>
      <c r="B14">
        <v>4</v>
      </c>
    </row>
    <row r="15" spans="1:2" x14ac:dyDescent="0.3">
      <c r="A15" s="2" t="s">
        <v>11</v>
      </c>
      <c r="B15">
        <v>8</v>
      </c>
    </row>
    <row r="16" spans="1:2" x14ac:dyDescent="0.3">
      <c r="A16" s="2" t="s">
        <v>27</v>
      </c>
      <c r="B16">
        <v>3</v>
      </c>
    </row>
    <row r="17" spans="1:2" x14ac:dyDescent="0.3">
      <c r="A17" s="2" t="s">
        <v>17</v>
      </c>
      <c r="B17">
        <v>7</v>
      </c>
    </row>
    <row r="18" spans="1:2" x14ac:dyDescent="0.3">
      <c r="A18" s="2" t="s">
        <v>26</v>
      </c>
      <c r="B18">
        <v>5</v>
      </c>
    </row>
    <row r="19" spans="1:2" x14ac:dyDescent="0.3">
      <c r="A19" s="2" t="s">
        <v>38</v>
      </c>
      <c r="B19">
        <v>3</v>
      </c>
    </row>
    <row r="20" spans="1:2" x14ac:dyDescent="0.3">
      <c r="A20" s="2" t="s">
        <v>7</v>
      </c>
      <c r="B20">
        <v>13</v>
      </c>
    </row>
    <row r="21" spans="1:2" x14ac:dyDescent="0.3">
      <c r="A21" s="2" t="s">
        <v>6</v>
      </c>
      <c r="B21">
        <v>18</v>
      </c>
    </row>
    <row r="22" spans="1:2" x14ac:dyDescent="0.3">
      <c r="A22" s="2" t="s">
        <v>34</v>
      </c>
      <c r="B22">
        <v>6</v>
      </c>
    </row>
    <row r="23" spans="1:2" x14ac:dyDescent="0.3">
      <c r="A23" s="2" t="s">
        <v>37</v>
      </c>
      <c r="B23">
        <v>3</v>
      </c>
    </row>
    <row r="24" spans="1:2" x14ac:dyDescent="0.3">
      <c r="A24" s="2" t="s">
        <v>14</v>
      </c>
      <c r="B24">
        <v>33</v>
      </c>
    </row>
    <row r="25" spans="1:2" x14ac:dyDescent="0.3">
      <c r="A25" s="2" t="s">
        <v>16</v>
      </c>
      <c r="B25">
        <v>7</v>
      </c>
    </row>
    <row r="26" spans="1:2" x14ac:dyDescent="0.3">
      <c r="A26" s="2" t="s">
        <v>30</v>
      </c>
      <c r="B26">
        <v>4</v>
      </c>
    </row>
    <row r="27" spans="1:2" x14ac:dyDescent="0.3">
      <c r="A27" s="2" t="s">
        <v>22</v>
      </c>
      <c r="B27">
        <v>2</v>
      </c>
    </row>
    <row r="28" spans="1:2" x14ac:dyDescent="0.3">
      <c r="A28" s="2" t="s">
        <v>25</v>
      </c>
      <c r="B28">
        <v>7</v>
      </c>
    </row>
    <row r="29" spans="1:2" x14ac:dyDescent="0.3">
      <c r="A29" s="2" t="s">
        <v>18</v>
      </c>
      <c r="B29">
        <v>3</v>
      </c>
    </row>
    <row r="30" spans="1:2" x14ac:dyDescent="0.3">
      <c r="A30" s="2" t="s">
        <v>29</v>
      </c>
      <c r="B30">
        <v>3</v>
      </c>
    </row>
    <row r="31" spans="1:2" x14ac:dyDescent="0.3">
      <c r="A31" s="2" t="s">
        <v>13</v>
      </c>
      <c r="B31">
        <v>4</v>
      </c>
    </row>
    <row r="32" spans="1:2" x14ac:dyDescent="0.3">
      <c r="A32" s="2" t="s">
        <v>8</v>
      </c>
      <c r="B32">
        <v>16</v>
      </c>
    </row>
    <row r="33" spans="1:2" x14ac:dyDescent="0.3">
      <c r="A33" s="2" t="s">
        <v>10</v>
      </c>
      <c r="B33">
        <v>12</v>
      </c>
    </row>
    <row r="34" spans="1:2" x14ac:dyDescent="0.3">
      <c r="A34" s="2" t="s">
        <v>24</v>
      </c>
      <c r="B34">
        <v>4</v>
      </c>
    </row>
    <row r="35" spans="1:2" x14ac:dyDescent="0.3">
      <c r="A35" s="2" t="s">
        <v>288</v>
      </c>
      <c r="B35">
        <v>248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17CEA-682C-4526-984B-3C9BA7CD2A3C}">
  <sheetPr codeName="Sheet2"/>
  <dimension ref="A1:B13"/>
  <sheetViews>
    <sheetView workbookViewId="0">
      <selection activeCell="A2" sqref="A2"/>
    </sheetView>
  </sheetViews>
  <sheetFormatPr defaultRowHeight="14.4" x14ac:dyDescent="0.3"/>
  <cols>
    <col min="1" max="1" width="22.33203125" bestFit="1" customWidth="1"/>
    <col min="2" max="2" width="18" bestFit="1" customWidth="1"/>
  </cols>
  <sheetData>
    <row r="1" spans="1:2" x14ac:dyDescent="0.3">
      <c r="A1" s="1" t="s">
        <v>287</v>
      </c>
      <c r="B1" t="s">
        <v>291</v>
      </c>
    </row>
    <row r="2" spans="1:2" x14ac:dyDescent="0.3">
      <c r="A2" s="2" t="s">
        <v>224</v>
      </c>
      <c r="B2" s="6">
        <v>43</v>
      </c>
    </row>
    <row r="3" spans="1:2" x14ac:dyDescent="0.3">
      <c r="A3" s="2" t="s">
        <v>134</v>
      </c>
      <c r="B3" s="6">
        <v>60</v>
      </c>
    </row>
    <row r="4" spans="1:2" x14ac:dyDescent="0.3">
      <c r="A4" s="2" t="s">
        <v>135</v>
      </c>
      <c r="B4" s="6">
        <v>61</v>
      </c>
    </row>
    <row r="5" spans="1:2" x14ac:dyDescent="0.3">
      <c r="A5" s="2" t="s">
        <v>118</v>
      </c>
      <c r="B5" s="6">
        <v>55</v>
      </c>
    </row>
    <row r="6" spans="1:2" x14ac:dyDescent="0.3">
      <c r="A6" s="2" t="s">
        <v>119</v>
      </c>
      <c r="B6" s="6">
        <v>45</v>
      </c>
    </row>
    <row r="7" spans="1:2" x14ac:dyDescent="0.3">
      <c r="A7" s="2" t="s">
        <v>60</v>
      </c>
      <c r="B7" s="6">
        <v>70</v>
      </c>
    </row>
    <row r="8" spans="1:2" x14ac:dyDescent="0.3">
      <c r="A8" s="2" t="s">
        <v>63</v>
      </c>
      <c r="B8" s="6">
        <v>69</v>
      </c>
    </row>
    <row r="9" spans="1:2" x14ac:dyDescent="0.3">
      <c r="A9" s="2" t="s">
        <v>187</v>
      </c>
      <c r="B9" s="6">
        <v>43</v>
      </c>
    </row>
    <row r="10" spans="1:2" x14ac:dyDescent="0.3">
      <c r="A10" s="2" t="s">
        <v>258</v>
      </c>
      <c r="B10" s="6">
        <v>43</v>
      </c>
    </row>
    <row r="11" spans="1:2" x14ac:dyDescent="0.3">
      <c r="A11" s="2" t="s">
        <v>78</v>
      </c>
      <c r="B11" s="6">
        <v>50</v>
      </c>
    </row>
    <row r="12" spans="1:2" x14ac:dyDescent="0.3">
      <c r="A12" s="2" t="s">
        <v>85</v>
      </c>
      <c r="B12" s="6">
        <v>75</v>
      </c>
    </row>
    <row r="13" spans="1:2" x14ac:dyDescent="0.3">
      <c r="A13" s="2" t="s">
        <v>288</v>
      </c>
      <c r="B13" s="6">
        <v>614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FE2D5-6380-41F5-AB09-A8298E0A0755}">
  <sheetPr codeName="Sheet3"/>
  <dimension ref="A1:B17"/>
  <sheetViews>
    <sheetView workbookViewId="0">
      <selection activeCell="A2" sqref="A2"/>
    </sheetView>
  </sheetViews>
  <sheetFormatPr defaultRowHeight="14.4" x14ac:dyDescent="0.3"/>
  <cols>
    <col min="1" max="1" width="35.6640625" bestFit="1" customWidth="1"/>
    <col min="2" max="2" width="20.5546875" bestFit="1" customWidth="1"/>
  </cols>
  <sheetData>
    <row r="1" spans="1:2" x14ac:dyDescent="0.3">
      <c r="A1" s="1" t="s">
        <v>287</v>
      </c>
      <c r="B1" t="s">
        <v>292</v>
      </c>
    </row>
    <row r="2" spans="1:2" x14ac:dyDescent="0.3">
      <c r="A2" s="2" t="s">
        <v>280</v>
      </c>
      <c r="B2">
        <v>4.9000000000000004</v>
      </c>
    </row>
    <row r="3" spans="1:2" x14ac:dyDescent="0.3">
      <c r="A3" s="2" t="s">
        <v>120</v>
      </c>
      <c r="B3">
        <v>4.9000000000000004</v>
      </c>
    </row>
    <row r="4" spans="1:2" x14ac:dyDescent="0.3">
      <c r="A4" s="2" t="s">
        <v>121</v>
      </c>
      <c r="B4">
        <v>4.9000000000000004</v>
      </c>
    </row>
    <row r="5" spans="1:2" x14ac:dyDescent="0.3">
      <c r="A5" s="2" t="s">
        <v>123</v>
      </c>
      <c r="B5">
        <v>4.9000000000000004</v>
      </c>
    </row>
    <row r="6" spans="1:2" x14ac:dyDescent="0.3">
      <c r="A6" s="2" t="s">
        <v>122</v>
      </c>
      <c r="B6">
        <v>4.9000000000000004</v>
      </c>
    </row>
    <row r="7" spans="1:2" x14ac:dyDescent="0.3">
      <c r="A7" s="2" t="s">
        <v>244</v>
      </c>
      <c r="B7">
        <v>4.9000000000000004</v>
      </c>
    </row>
    <row r="8" spans="1:2" x14ac:dyDescent="0.3">
      <c r="A8" s="2" t="s">
        <v>270</v>
      </c>
      <c r="B8">
        <v>4.9000000000000004</v>
      </c>
    </row>
    <row r="9" spans="1:2" x14ac:dyDescent="0.3">
      <c r="A9" s="2" t="s">
        <v>178</v>
      </c>
      <c r="B9">
        <v>4.9000000000000004</v>
      </c>
    </row>
    <row r="10" spans="1:2" x14ac:dyDescent="0.3">
      <c r="A10" s="2" t="s">
        <v>162</v>
      </c>
      <c r="B10">
        <v>4.9000000000000004</v>
      </c>
    </row>
    <row r="11" spans="1:2" x14ac:dyDescent="0.3">
      <c r="A11" s="2" t="s">
        <v>176</v>
      </c>
      <c r="B11">
        <v>4.9000000000000004</v>
      </c>
    </row>
    <row r="12" spans="1:2" x14ac:dyDescent="0.3">
      <c r="A12" s="2" t="s">
        <v>163</v>
      </c>
      <c r="B12">
        <v>4.9000000000000004</v>
      </c>
    </row>
    <row r="13" spans="1:2" x14ac:dyDescent="0.3">
      <c r="A13" s="2" t="s">
        <v>164</v>
      </c>
      <c r="B13">
        <v>4.9000000000000004</v>
      </c>
    </row>
    <row r="14" spans="1:2" x14ac:dyDescent="0.3">
      <c r="A14" s="2" t="s">
        <v>239</v>
      </c>
      <c r="B14">
        <v>4.9000000000000004</v>
      </c>
    </row>
    <row r="15" spans="1:2" x14ac:dyDescent="0.3">
      <c r="A15" s="2" t="s">
        <v>254</v>
      </c>
      <c r="B15">
        <v>4.9000000000000004</v>
      </c>
    </row>
    <row r="16" spans="1:2" x14ac:dyDescent="0.3">
      <c r="A16" s="2" t="s">
        <v>232</v>
      </c>
      <c r="B16">
        <v>4.9000000000000004</v>
      </c>
    </row>
    <row r="17" spans="1:2" x14ac:dyDescent="0.3">
      <c r="A17" s="2" t="s">
        <v>288</v>
      </c>
      <c r="B17">
        <v>73.5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E4F54-A6AA-422F-AC88-9B83267EC515}">
  <sheetPr codeName="Sheet4"/>
  <dimension ref="A1:B20"/>
  <sheetViews>
    <sheetView topLeftCell="A2" workbookViewId="0">
      <selection activeCell="J24" sqref="J24"/>
    </sheetView>
  </sheetViews>
  <sheetFormatPr defaultRowHeight="14.4" x14ac:dyDescent="0.3"/>
  <cols>
    <col min="1" max="1" width="20.21875" bestFit="1" customWidth="1"/>
    <col min="2" max="2" width="18.77734375" bestFit="1" customWidth="1"/>
    <col min="3" max="6" width="2" bestFit="1" customWidth="1"/>
    <col min="7" max="7" width="10.77734375" bestFit="1" customWidth="1"/>
  </cols>
  <sheetData>
    <row r="1" spans="1:2" x14ac:dyDescent="0.3">
      <c r="A1" s="1" t="s">
        <v>287</v>
      </c>
      <c r="B1" t="s">
        <v>293</v>
      </c>
    </row>
    <row r="2" spans="1:2" x14ac:dyDescent="0.3">
      <c r="A2" s="2" t="s">
        <v>276</v>
      </c>
      <c r="B2">
        <v>5</v>
      </c>
    </row>
    <row r="3" spans="1:2" x14ac:dyDescent="0.3">
      <c r="A3" s="2" t="s">
        <v>277</v>
      </c>
      <c r="B3">
        <v>5</v>
      </c>
    </row>
    <row r="4" spans="1:2" x14ac:dyDescent="0.3">
      <c r="A4" s="2" t="s">
        <v>219</v>
      </c>
      <c r="B4">
        <v>5</v>
      </c>
    </row>
    <row r="5" spans="1:2" x14ac:dyDescent="0.3">
      <c r="A5" s="2" t="s">
        <v>215</v>
      </c>
      <c r="B5">
        <v>5</v>
      </c>
    </row>
    <row r="6" spans="1:2" x14ac:dyDescent="0.3">
      <c r="A6" s="2" t="s">
        <v>280</v>
      </c>
      <c r="B6">
        <v>5</v>
      </c>
    </row>
    <row r="7" spans="1:2" x14ac:dyDescent="0.3">
      <c r="A7" s="2" t="s">
        <v>129</v>
      </c>
      <c r="B7">
        <v>5</v>
      </c>
    </row>
    <row r="8" spans="1:2" x14ac:dyDescent="0.3">
      <c r="A8" s="2" t="s">
        <v>228</v>
      </c>
      <c r="B8">
        <v>5</v>
      </c>
    </row>
    <row r="9" spans="1:2" x14ac:dyDescent="0.3">
      <c r="A9" s="2" t="s">
        <v>191</v>
      </c>
      <c r="B9">
        <v>5</v>
      </c>
    </row>
    <row r="10" spans="1:2" x14ac:dyDescent="0.3">
      <c r="A10" s="2" t="s">
        <v>264</v>
      </c>
      <c r="B10">
        <v>5</v>
      </c>
    </row>
    <row r="11" spans="1:2" x14ac:dyDescent="0.3">
      <c r="A11" s="2" t="s">
        <v>259</v>
      </c>
      <c r="B11">
        <v>5</v>
      </c>
    </row>
    <row r="12" spans="1:2" x14ac:dyDescent="0.3">
      <c r="A12" s="2" t="s">
        <v>251</v>
      </c>
      <c r="B12">
        <v>5</v>
      </c>
    </row>
    <row r="13" spans="1:2" x14ac:dyDescent="0.3">
      <c r="A13" s="2" t="s">
        <v>206</v>
      </c>
      <c r="B13">
        <v>5</v>
      </c>
    </row>
    <row r="14" spans="1:2" x14ac:dyDescent="0.3">
      <c r="A14" s="2" t="s">
        <v>117</v>
      </c>
      <c r="B14">
        <v>5</v>
      </c>
    </row>
    <row r="15" spans="1:2" x14ac:dyDescent="0.3">
      <c r="A15" s="2" t="s">
        <v>250</v>
      </c>
      <c r="B15">
        <v>5</v>
      </c>
    </row>
    <row r="16" spans="1:2" x14ac:dyDescent="0.3">
      <c r="A16" s="2" t="s">
        <v>243</v>
      </c>
      <c r="B16">
        <v>5</v>
      </c>
    </row>
    <row r="17" spans="1:2" x14ac:dyDescent="0.3">
      <c r="A17" s="2" t="s">
        <v>59</v>
      </c>
      <c r="B17">
        <v>5</v>
      </c>
    </row>
    <row r="18" spans="1:2" x14ac:dyDescent="0.3">
      <c r="A18" s="2" t="s">
        <v>272</v>
      </c>
      <c r="B18">
        <v>5</v>
      </c>
    </row>
    <row r="19" spans="1:2" x14ac:dyDescent="0.3">
      <c r="A19" s="2" t="s">
        <v>282</v>
      </c>
      <c r="B19">
        <v>5</v>
      </c>
    </row>
    <row r="20" spans="1:2" x14ac:dyDescent="0.3">
      <c r="A20" s="2" t="s">
        <v>288</v>
      </c>
      <c r="B20">
        <v>90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5E04C-CB61-469F-8900-3F1CF56ECF32}">
  <sheetPr codeName="Sheet5"/>
  <dimension ref="A1:B12"/>
  <sheetViews>
    <sheetView workbookViewId="0">
      <selection activeCell="L23" sqref="L23"/>
    </sheetView>
  </sheetViews>
  <sheetFormatPr defaultRowHeight="14.4" x14ac:dyDescent="0.3"/>
  <cols>
    <col min="1" max="1" width="13.6640625" bestFit="1" customWidth="1"/>
    <col min="2" max="2" width="11.6640625" bestFit="1" customWidth="1"/>
  </cols>
  <sheetData>
    <row r="1" spans="1:2" x14ac:dyDescent="0.3">
      <c r="A1" s="1" t="s">
        <v>287</v>
      </c>
      <c r="B1" t="s">
        <v>294</v>
      </c>
    </row>
    <row r="2" spans="1:2" x14ac:dyDescent="0.3">
      <c r="A2" s="2" t="s">
        <v>12</v>
      </c>
      <c r="B2">
        <v>67283</v>
      </c>
    </row>
    <row r="3" spans="1:2" x14ac:dyDescent="0.3">
      <c r="A3" s="2" t="s">
        <v>15</v>
      </c>
      <c r="B3">
        <v>116871</v>
      </c>
    </row>
    <row r="4" spans="1:2" x14ac:dyDescent="0.3">
      <c r="A4" s="2" t="s">
        <v>9</v>
      </c>
      <c r="B4">
        <v>728246</v>
      </c>
    </row>
    <row r="5" spans="1:2" x14ac:dyDescent="0.3">
      <c r="A5" s="2" t="s">
        <v>11</v>
      </c>
      <c r="B5">
        <v>305960</v>
      </c>
    </row>
    <row r="6" spans="1:2" x14ac:dyDescent="0.3">
      <c r="A6" s="2" t="s">
        <v>7</v>
      </c>
      <c r="B6">
        <v>881254</v>
      </c>
    </row>
    <row r="7" spans="1:2" x14ac:dyDescent="0.3">
      <c r="A7" s="2" t="s">
        <v>6</v>
      </c>
      <c r="B7">
        <v>1960059</v>
      </c>
    </row>
    <row r="8" spans="1:2" x14ac:dyDescent="0.3">
      <c r="A8" s="2" t="s">
        <v>14</v>
      </c>
      <c r="B8">
        <v>553276</v>
      </c>
    </row>
    <row r="9" spans="1:2" x14ac:dyDescent="0.3">
      <c r="A9" s="2" t="s">
        <v>13</v>
      </c>
      <c r="B9">
        <v>66663</v>
      </c>
    </row>
    <row r="10" spans="1:2" x14ac:dyDescent="0.3">
      <c r="A10" s="2" t="s">
        <v>8</v>
      </c>
      <c r="B10">
        <v>916644</v>
      </c>
    </row>
    <row r="11" spans="1:2" x14ac:dyDescent="0.3">
      <c r="A11" s="2" t="s">
        <v>10</v>
      </c>
      <c r="B11">
        <v>412830</v>
      </c>
    </row>
    <row r="12" spans="1:2" x14ac:dyDescent="0.3">
      <c r="A12" s="2" t="s">
        <v>288</v>
      </c>
      <c r="B12">
        <v>6009086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H249"/>
  <sheetViews>
    <sheetView tabSelected="1" workbookViewId="0">
      <selection activeCell="I9" sqref="I9"/>
    </sheetView>
  </sheetViews>
  <sheetFormatPr defaultRowHeight="14.4" x14ac:dyDescent="0.3"/>
  <cols>
    <col min="1" max="1" width="15.109375" customWidth="1"/>
    <col min="2" max="2" width="16.6640625" customWidth="1"/>
    <col min="3" max="3" width="17.77734375" customWidth="1"/>
    <col min="4" max="4" width="23.109375" customWidth="1"/>
    <col min="5" max="5" width="21.109375" customWidth="1"/>
    <col min="6" max="6" width="18.109375" customWidth="1"/>
  </cols>
  <sheetData>
    <row r="1" spans="1:8" x14ac:dyDescent="0.3">
      <c r="A1" s="5" t="s">
        <v>0</v>
      </c>
      <c r="B1" s="5" t="s">
        <v>1</v>
      </c>
      <c r="C1" s="5" t="s">
        <v>2</v>
      </c>
      <c r="D1" s="5" t="s">
        <v>3</v>
      </c>
      <c r="E1" s="5" t="s">
        <v>4</v>
      </c>
      <c r="F1" s="5" t="s">
        <v>5</v>
      </c>
    </row>
    <row r="2" spans="1:8" x14ac:dyDescent="0.3">
      <c r="A2" t="s">
        <v>6</v>
      </c>
      <c r="B2" t="s">
        <v>39</v>
      </c>
      <c r="C2">
        <v>21</v>
      </c>
      <c r="D2">
        <v>4.5</v>
      </c>
      <c r="E2">
        <v>4</v>
      </c>
      <c r="F2">
        <v>169897</v>
      </c>
    </row>
    <row r="3" spans="1:8" x14ac:dyDescent="0.3">
      <c r="A3" t="s">
        <v>6</v>
      </c>
      <c r="B3" t="s">
        <v>40</v>
      </c>
      <c r="C3">
        <v>24</v>
      </c>
      <c r="D3">
        <v>4.5999999999999996</v>
      </c>
      <c r="E3">
        <v>3</v>
      </c>
      <c r="F3">
        <v>134735</v>
      </c>
    </row>
    <row r="4" spans="1:8" x14ac:dyDescent="0.3">
      <c r="A4" t="s">
        <v>6</v>
      </c>
      <c r="B4" t="s">
        <v>41</v>
      </c>
      <c r="C4">
        <v>28</v>
      </c>
      <c r="D4">
        <v>4.5999999999999996</v>
      </c>
      <c r="E4">
        <v>2</v>
      </c>
      <c r="F4">
        <v>195321</v>
      </c>
      <c r="H4">
        <f>AVERAGEIF(A:A,"Mahindra",C:C)</f>
        <v>26.003076923076922</v>
      </c>
    </row>
    <row r="5" spans="1:8" x14ac:dyDescent="0.3">
      <c r="A5" t="s">
        <v>6</v>
      </c>
      <c r="B5" t="s">
        <v>42</v>
      </c>
      <c r="C5">
        <v>28.5</v>
      </c>
      <c r="D5">
        <v>4.7</v>
      </c>
      <c r="E5">
        <v>5</v>
      </c>
      <c r="F5">
        <v>164517</v>
      </c>
    </row>
    <row r="6" spans="1:8" x14ac:dyDescent="0.3">
      <c r="A6" t="s">
        <v>6</v>
      </c>
      <c r="B6" t="s">
        <v>43</v>
      </c>
      <c r="C6">
        <v>26</v>
      </c>
      <c r="D6">
        <v>4.5</v>
      </c>
      <c r="E6">
        <v>4</v>
      </c>
      <c r="F6">
        <v>195607</v>
      </c>
    </row>
    <row r="7" spans="1:8" x14ac:dyDescent="0.3">
      <c r="A7" t="s">
        <v>6</v>
      </c>
      <c r="B7" t="s">
        <v>44</v>
      </c>
      <c r="C7">
        <v>23</v>
      </c>
      <c r="D7">
        <v>4.5</v>
      </c>
      <c r="E7">
        <v>5</v>
      </c>
      <c r="F7">
        <v>121169</v>
      </c>
    </row>
    <row r="8" spans="1:8" x14ac:dyDescent="0.3">
      <c r="A8" t="s">
        <v>6</v>
      </c>
      <c r="B8" t="s">
        <v>45</v>
      </c>
      <c r="C8">
        <v>28.5</v>
      </c>
      <c r="D8">
        <v>4.5</v>
      </c>
      <c r="E8">
        <v>1</v>
      </c>
      <c r="F8">
        <v>200177</v>
      </c>
    </row>
    <row r="9" spans="1:8" x14ac:dyDescent="0.3">
      <c r="A9" t="s">
        <v>6</v>
      </c>
      <c r="B9" t="s">
        <v>46</v>
      </c>
      <c r="C9">
        <v>28.5</v>
      </c>
      <c r="D9">
        <v>4.5999999999999996</v>
      </c>
      <c r="E9">
        <v>2</v>
      </c>
      <c r="F9">
        <v>111955</v>
      </c>
    </row>
    <row r="10" spans="1:8" x14ac:dyDescent="0.3">
      <c r="A10" t="s">
        <v>6</v>
      </c>
      <c r="B10" t="s">
        <v>47</v>
      </c>
      <c r="C10">
        <v>23</v>
      </c>
      <c r="D10">
        <v>4.5999999999999996</v>
      </c>
      <c r="E10">
        <v>3</v>
      </c>
      <c r="F10">
        <v>149757</v>
      </c>
    </row>
    <row r="11" spans="1:8" x14ac:dyDescent="0.3">
      <c r="A11" t="s">
        <v>6</v>
      </c>
      <c r="B11" t="s">
        <v>48</v>
      </c>
      <c r="C11">
        <v>23</v>
      </c>
      <c r="D11">
        <v>4.4000000000000004</v>
      </c>
      <c r="E11">
        <v>3</v>
      </c>
      <c r="F11">
        <v>45334</v>
      </c>
    </row>
    <row r="12" spans="1:8" x14ac:dyDescent="0.3">
      <c r="A12" t="s">
        <v>6</v>
      </c>
      <c r="B12" t="s">
        <v>49</v>
      </c>
      <c r="C12">
        <v>29.5</v>
      </c>
      <c r="D12">
        <v>4.4000000000000004</v>
      </c>
      <c r="E12">
        <v>2</v>
      </c>
      <c r="F12">
        <v>39931</v>
      </c>
    </row>
    <row r="13" spans="1:8" x14ac:dyDescent="0.3">
      <c r="A13" t="s">
        <v>6</v>
      </c>
      <c r="B13" t="s">
        <v>50</v>
      </c>
      <c r="C13">
        <v>16</v>
      </c>
      <c r="D13">
        <v>3.5</v>
      </c>
      <c r="E13">
        <v>3</v>
      </c>
      <c r="F13">
        <v>17009</v>
      </c>
    </row>
    <row r="14" spans="1:8" x14ac:dyDescent="0.3">
      <c r="A14" t="s">
        <v>6</v>
      </c>
      <c r="B14" t="s">
        <v>51</v>
      </c>
      <c r="C14">
        <v>20</v>
      </c>
      <c r="D14">
        <v>4.7</v>
      </c>
      <c r="E14">
        <v>3</v>
      </c>
      <c r="F14">
        <v>32463</v>
      </c>
    </row>
    <row r="15" spans="1:8" x14ac:dyDescent="0.3">
      <c r="A15" t="s">
        <v>6</v>
      </c>
      <c r="B15" t="s">
        <v>52</v>
      </c>
      <c r="C15">
        <v>28</v>
      </c>
      <c r="D15">
        <v>4.4000000000000004</v>
      </c>
      <c r="E15">
        <v>1</v>
      </c>
      <c r="F15">
        <v>30139</v>
      </c>
    </row>
    <row r="16" spans="1:8" x14ac:dyDescent="0.3">
      <c r="A16" t="s">
        <v>6</v>
      </c>
      <c r="B16" t="s">
        <v>53</v>
      </c>
      <c r="C16">
        <v>24</v>
      </c>
      <c r="D16">
        <v>4.3</v>
      </c>
      <c r="E16">
        <v>4</v>
      </c>
      <c r="F16">
        <v>10337</v>
      </c>
    </row>
    <row r="17" spans="1:6" x14ac:dyDescent="0.3">
      <c r="A17" t="s">
        <v>6</v>
      </c>
      <c r="B17" t="s">
        <v>54</v>
      </c>
      <c r="C17">
        <v>22.5</v>
      </c>
      <c r="D17">
        <v>4.5999999999999996</v>
      </c>
      <c r="E17">
        <v>1</v>
      </c>
      <c r="F17">
        <v>137139</v>
      </c>
    </row>
    <row r="18" spans="1:6" x14ac:dyDescent="0.3">
      <c r="A18" t="s">
        <v>6</v>
      </c>
      <c r="B18" t="s">
        <v>55</v>
      </c>
      <c r="C18">
        <v>23</v>
      </c>
      <c r="D18">
        <v>4.5999999999999996</v>
      </c>
      <c r="E18">
        <v>5</v>
      </c>
      <c r="F18">
        <v>4395</v>
      </c>
    </row>
    <row r="19" spans="1:6" x14ac:dyDescent="0.3">
      <c r="A19" t="s">
        <v>6</v>
      </c>
      <c r="B19" t="s">
        <v>56</v>
      </c>
      <c r="C19">
        <v>24</v>
      </c>
      <c r="D19">
        <v>4.5</v>
      </c>
      <c r="E19">
        <v>2</v>
      </c>
      <c r="F19">
        <v>200177</v>
      </c>
    </row>
    <row r="20" spans="1:6" x14ac:dyDescent="0.3">
      <c r="A20" t="s">
        <v>7</v>
      </c>
      <c r="B20" t="s">
        <v>57</v>
      </c>
      <c r="C20">
        <v>15.94</v>
      </c>
      <c r="D20">
        <v>4.7</v>
      </c>
      <c r="E20">
        <v>5</v>
      </c>
      <c r="F20">
        <v>141462</v>
      </c>
    </row>
    <row r="21" spans="1:6" x14ac:dyDescent="0.3">
      <c r="A21" t="s">
        <v>7</v>
      </c>
      <c r="B21" t="s">
        <v>58</v>
      </c>
      <c r="C21">
        <v>19</v>
      </c>
      <c r="D21">
        <v>4.5999999999999996</v>
      </c>
      <c r="E21">
        <v>5</v>
      </c>
      <c r="F21">
        <v>53962</v>
      </c>
    </row>
    <row r="22" spans="1:6" x14ac:dyDescent="0.3">
      <c r="A22" t="s">
        <v>7</v>
      </c>
      <c r="B22" t="s">
        <v>59</v>
      </c>
      <c r="C22">
        <v>17</v>
      </c>
      <c r="D22">
        <v>4.5999999999999996</v>
      </c>
      <c r="E22">
        <v>5</v>
      </c>
      <c r="F22">
        <v>79398</v>
      </c>
    </row>
    <row r="23" spans="1:6" x14ac:dyDescent="0.3">
      <c r="A23" t="s">
        <v>7</v>
      </c>
      <c r="B23" t="s">
        <v>60</v>
      </c>
      <c r="C23">
        <v>70</v>
      </c>
      <c r="D23">
        <v>4.7</v>
      </c>
      <c r="E23">
        <v>5</v>
      </c>
      <c r="F23">
        <v>10000</v>
      </c>
    </row>
    <row r="24" spans="1:6" x14ac:dyDescent="0.3">
      <c r="A24" t="s">
        <v>7</v>
      </c>
      <c r="B24" t="s">
        <v>61</v>
      </c>
      <c r="C24">
        <v>13.5</v>
      </c>
      <c r="D24">
        <v>4.7</v>
      </c>
      <c r="E24">
        <v>5</v>
      </c>
      <c r="F24">
        <v>38246</v>
      </c>
    </row>
    <row r="25" spans="1:6" x14ac:dyDescent="0.3">
      <c r="A25" t="s">
        <v>7</v>
      </c>
      <c r="B25" t="s">
        <v>62</v>
      </c>
      <c r="C25">
        <v>15.2</v>
      </c>
      <c r="D25">
        <v>4.7</v>
      </c>
      <c r="E25">
        <v>4</v>
      </c>
      <c r="F25">
        <v>65246</v>
      </c>
    </row>
    <row r="26" spans="1:6" x14ac:dyDescent="0.3">
      <c r="A26" t="s">
        <v>7</v>
      </c>
      <c r="B26" t="s">
        <v>63</v>
      </c>
      <c r="C26">
        <v>69</v>
      </c>
      <c r="D26">
        <v>4.7</v>
      </c>
      <c r="E26">
        <v>5</v>
      </c>
      <c r="F26">
        <v>10000</v>
      </c>
    </row>
    <row r="27" spans="1:6" x14ac:dyDescent="0.3">
      <c r="A27" t="s">
        <v>7</v>
      </c>
      <c r="B27" t="s">
        <v>64</v>
      </c>
      <c r="C27">
        <v>15</v>
      </c>
      <c r="D27">
        <v>4.8</v>
      </c>
      <c r="E27">
        <v>4</v>
      </c>
      <c r="F27">
        <v>141462</v>
      </c>
    </row>
    <row r="28" spans="1:6" x14ac:dyDescent="0.3">
      <c r="A28" t="s">
        <v>7</v>
      </c>
      <c r="B28" t="s">
        <v>65</v>
      </c>
      <c r="C28">
        <v>16</v>
      </c>
      <c r="D28">
        <v>4.5999999999999996</v>
      </c>
      <c r="E28">
        <v>3</v>
      </c>
      <c r="F28">
        <v>110841</v>
      </c>
    </row>
    <row r="29" spans="1:6" x14ac:dyDescent="0.3">
      <c r="A29" t="s">
        <v>7</v>
      </c>
      <c r="B29" t="s">
        <v>66</v>
      </c>
      <c r="C29">
        <v>17</v>
      </c>
      <c r="D29">
        <v>4.5999999999999996</v>
      </c>
      <c r="E29">
        <v>1</v>
      </c>
      <c r="F29">
        <v>110841</v>
      </c>
    </row>
    <row r="30" spans="1:6" x14ac:dyDescent="0.3">
      <c r="A30" t="s">
        <v>7</v>
      </c>
      <c r="B30" t="s">
        <v>67</v>
      </c>
      <c r="C30">
        <v>14</v>
      </c>
      <c r="D30">
        <v>4.5999999999999996</v>
      </c>
      <c r="E30">
        <v>1</v>
      </c>
      <c r="F30">
        <v>110841</v>
      </c>
    </row>
    <row r="31" spans="1:6" x14ac:dyDescent="0.3">
      <c r="A31" t="s">
        <v>7</v>
      </c>
      <c r="B31" t="s">
        <v>68</v>
      </c>
      <c r="C31">
        <v>39.4</v>
      </c>
      <c r="D31">
        <v>3.9</v>
      </c>
      <c r="E31">
        <v>5</v>
      </c>
      <c r="F31">
        <v>8237</v>
      </c>
    </row>
    <row r="32" spans="1:6" x14ac:dyDescent="0.3">
      <c r="A32" t="s">
        <v>7</v>
      </c>
      <c r="B32" t="s">
        <v>69</v>
      </c>
      <c r="C32">
        <v>17</v>
      </c>
      <c r="D32">
        <v>4.3</v>
      </c>
      <c r="E32">
        <v>4</v>
      </c>
      <c r="F32">
        <v>718</v>
      </c>
    </row>
    <row r="33" spans="1:6" x14ac:dyDescent="0.3">
      <c r="A33" t="s">
        <v>8</v>
      </c>
      <c r="B33" t="s">
        <v>70</v>
      </c>
      <c r="C33">
        <v>16.8</v>
      </c>
      <c r="D33">
        <v>4.8</v>
      </c>
      <c r="E33">
        <v>5</v>
      </c>
      <c r="F33">
        <v>11000</v>
      </c>
    </row>
    <row r="34" spans="1:6" x14ac:dyDescent="0.3">
      <c r="A34" t="s">
        <v>8</v>
      </c>
      <c r="B34" t="s">
        <v>71</v>
      </c>
      <c r="C34">
        <v>21.484999999999999</v>
      </c>
      <c r="D34">
        <v>4.7</v>
      </c>
      <c r="E34">
        <v>5</v>
      </c>
      <c r="F34">
        <v>70162</v>
      </c>
    </row>
    <row r="35" spans="1:6" x14ac:dyDescent="0.3">
      <c r="A35" t="s">
        <v>8</v>
      </c>
      <c r="B35" t="s">
        <v>72</v>
      </c>
      <c r="C35">
        <v>20.5</v>
      </c>
      <c r="D35">
        <v>4.5999999999999996</v>
      </c>
      <c r="E35">
        <v>5</v>
      </c>
      <c r="F35">
        <v>171697</v>
      </c>
    </row>
    <row r="36" spans="1:6" x14ac:dyDescent="0.3">
      <c r="A36" t="s">
        <v>8</v>
      </c>
      <c r="B36" t="s">
        <v>73</v>
      </c>
      <c r="C36">
        <v>22</v>
      </c>
      <c r="D36">
        <v>4.4000000000000004</v>
      </c>
      <c r="E36">
        <v>5</v>
      </c>
      <c r="F36">
        <v>170076</v>
      </c>
    </row>
    <row r="37" spans="1:6" x14ac:dyDescent="0.3">
      <c r="A37" t="s">
        <v>8</v>
      </c>
      <c r="B37" t="s">
        <v>74</v>
      </c>
      <c r="C37">
        <v>15</v>
      </c>
      <c r="D37">
        <v>4.7</v>
      </c>
      <c r="E37">
        <v>5</v>
      </c>
      <c r="F37">
        <v>24701</v>
      </c>
    </row>
    <row r="38" spans="1:6" x14ac:dyDescent="0.3">
      <c r="A38" t="s">
        <v>8</v>
      </c>
      <c r="B38" t="s">
        <v>75</v>
      </c>
      <c r="C38">
        <v>23.5</v>
      </c>
      <c r="D38">
        <v>4.4000000000000004</v>
      </c>
      <c r="E38">
        <v>4</v>
      </c>
      <c r="F38">
        <v>85478</v>
      </c>
    </row>
    <row r="39" spans="1:6" x14ac:dyDescent="0.3">
      <c r="A39" t="s">
        <v>8</v>
      </c>
      <c r="B39" t="s">
        <v>76</v>
      </c>
      <c r="C39">
        <v>17</v>
      </c>
      <c r="D39">
        <v>4.5999999999999996</v>
      </c>
      <c r="E39">
        <v>5</v>
      </c>
      <c r="F39">
        <v>34019</v>
      </c>
    </row>
    <row r="40" spans="1:6" x14ac:dyDescent="0.3">
      <c r="A40" t="s">
        <v>8</v>
      </c>
      <c r="B40" t="s">
        <v>77</v>
      </c>
      <c r="C40">
        <v>15</v>
      </c>
      <c r="D40">
        <v>4.7</v>
      </c>
      <c r="E40">
        <v>5</v>
      </c>
      <c r="F40">
        <v>21944</v>
      </c>
    </row>
    <row r="41" spans="1:6" x14ac:dyDescent="0.3">
      <c r="A41" t="s">
        <v>8</v>
      </c>
      <c r="B41" t="s">
        <v>78</v>
      </c>
      <c r="C41">
        <v>50</v>
      </c>
      <c r="D41">
        <v>4.4000000000000004</v>
      </c>
      <c r="E41">
        <v>5</v>
      </c>
      <c r="F41">
        <v>18670</v>
      </c>
    </row>
    <row r="42" spans="1:6" x14ac:dyDescent="0.3">
      <c r="A42" t="s">
        <v>8</v>
      </c>
      <c r="B42" t="s">
        <v>79</v>
      </c>
      <c r="C42">
        <v>37.5</v>
      </c>
      <c r="D42">
        <v>4.4000000000000004</v>
      </c>
      <c r="E42">
        <v>5</v>
      </c>
      <c r="F42">
        <v>64217</v>
      </c>
    </row>
    <row r="43" spans="1:6" x14ac:dyDescent="0.3">
      <c r="A43" t="s">
        <v>8</v>
      </c>
      <c r="B43" t="s">
        <v>80</v>
      </c>
      <c r="C43">
        <v>35</v>
      </c>
      <c r="D43">
        <v>4.4000000000000004</v>
      </c>
      <c r="E43">
        <v>5</v>
      </c>
      <c r="F43">
        <v>22724</v>
      </c>
    </row>
    <row r="44" spans="1:6" x14ac:dyDescent="0.3">
      <c r="A44" t="s">
        <v>8</v>
      </c>
      <c r="B44" t="s">
        <v>81</v>
      </c>
      <c r="C44">
        <v>19.2</v>
      </c>
      <c r="D44">
        <v>4.5</v>
      </c>
      <c r="E44">
        <v>4</v>
      </c>
      <c r="F44">
        <v>74000</v>
      </c>
    </row>
    <row r="45" spans="1:6" x14ac:dyDescent="0.3">
      <c r="A45" t="s">
        <v>8</v>
      </c>
      <c r="B45" t="s">
        <v>82</v>
      </c>
      <c r="C45">
        <v>23.5</v>
      </c>
      <c r="D45">
        <v>4.5</v>
      </c>
      <c r="E45">
        <v>4</v>
      </c>
      <c r="F45">
        <v>26921</v>
      </c>
    </row>
    <row r="46" spans="1:6" x14ac:dyDescent="0.3">
      <c r="A46" t="s">
        <v>8</v>
      </c>
      <c r="B46" t="s">
        <v>83</v>
      </c>
      <c r="C46">
        <v>26</v>
      </c>
      <c r="D46">
        <v>3.6</v>
      </c>
      <c r="E46">
        <v>4</v>
      </c>
      <c r="F46">
        <v>73833</v>
      </c>
    </row>
    <row r="47" spans="1:6" x14ac:dyDescent="0.3">
      <c r="A47" t="s">
        <v>8</v>
      </c>
      <c r="B47" t="s">
        <v>84</v>
      </c>
      <c r="C47">
        <v>23</v>
      </c>
      <c r="D47">
        <v>4.7</v>
      </c>
      <c r="E47">
        <v>4</v>
      </c>
      <c r="F47">
        <v>37202</v>
      </c>
    </row>
    <row r="48" spans="1:6" x14ac:dyDescent="0.3">
      <c r="A48" t="s">
        <v>8</v>
      </c>
      <c r="B48" t="s">
        <v>85</v>
      </c>
      <c r="C48">
        <v>75</v>
      </c>
      <c r="D48">
        <v>4.8</v>
      </c>
      <c r="E48">
        <v>5</v>
      </c>
      <c r="F48">
        <v>10000</v>
      </c>
    </row>
    <row r="49" spans="1:6" x14ac:dyDescent="0.3">
      <c r="A49" t="s">
        <v>9</v>
      </c>
      <c r="B49" t="s">
        <v>86</v>
      </c>
      <c r="C49">
        <v>19.600000000000001</v>
      </c>
      <c r="D49">
        <v>4.5999999999999996</v>
      </c>
      <c r="E49">
        <v>3</v>
      </c>
      <c r="F49">
        <v>162773</v>
      </c>
    </row>
    <row r="50" spans="1:6" x14ac:dyDescent="0.3">
      <c r="A50" t="s">
        <v>9</v>
      </c>
      <c r="B50" t="s">
        <v>87</v>
      </c>
      <c r="C50">
        <v>23</v>
      </c>
      <c r="D50">
        <v>4.5999999999999996</v>
      </c>
      <c r="E50">
        <v>3</v>
      </c>
      <c r="F50">
        <v>71301</v>
      </c>
    </row>
    <row r="51" spans="1:6" x14ac:dyDescent="0.3">
      <c r="A51" t="s">
        <v>9</v>
      </c>
      <c r="B51" t="s">
        <v>88</v>
      </c>
      <c r="C51">
        <v>20</v>
      </c>
      <c r="D51">
        <v>4.5999999999999996</v>
      </c>
      <c r="E51">
        <v>3</v>
      </c>
      <c r="F51">
        <v>128897</v>
      </c>
    </row>
    <row r="52" spans="1:6" x14ac:dyDescent="0.3">
      <c r="A52" t="s">
        <v>9</v>
      </c>
      <c r="B52" t="s">
        <v>89</v>
      </c>
      <c r="C52">
        <v>21.5</v>
      </c>
      <c r="D52">
        <v>4.5</v>
      </c>
      <c r="E52">
        <v>2</v>
      </c>
      <c r="F52">
        <v>70764</v>
      </c>
    </row>
    <row r="53" spans="1:6" x14ac:dyDescent="0.3">
      <c r="A53" t="s">
        <v>9</v>
      </c>
      <c r="B53" t="s">
        <v>90</v>
      </c>
      <c r="C53">
        <v>19</v>
      </c>
      <c r="D53">
        <v>4.5999999999999996</v>
      </c>
      <c r="E53">
        <v>5</v>
      </c>
      <c r="F53">
        <v>30027</v>
      </c>
    </row>
    <row r="54" spans="1:6" x14ac:dyDescent="0.3">
      <c r="A54" t="s">
        <v>9</v>
      </c>
      <c r="B54" t="s">
        <v>91</v>
      </c>
      <c r="C54">
        <v>20.5</v>
      </c>
      <c r="D54">
        <v>4.5999999999999996</v>
      </c>
      <c r="E54">
        <v>3</v>
      </c>
      <c r="F54">
        <v>69988</v>
      </c>
    </row>
    <row r="55" spans="1:6" x14ac:dyDescent="0.3">
      <c r="A55" t="s">
        <v>9</v>
      </c>
      <c r="B55" t="s">
        <v>92</v>
      </c>
      <c r="C55">
        <v>20.5</v>
      </c>
      <c r="D55">
        <v>4.5999999999999996</v>
      </c>
      <c r="E55">
        <v>2</v>
      </c>
      <c r="F55">
        <v>55215</v>
      </c>
    </row>
    <row r="56" spans="1:6" x14ac:dyDescent="0.3">
      <c r="A56" t="s">
        <v>9</v>
      </c>
      <c r="B56" t="s">
        <v>93</v>
      </c>
      <c r="C56">
        <v>18.75</v>
      </c>
      <c r="D56">
        <v>4.5999999999999996</v>
      </c>
      <c r="E56">
        <v>3</v>
      </c>
      <c r="F56">
        <v>20753</v>
      </c>
    </row>
    <row r="57" spans="1:6" x14ac:dyDescent="0.3">
      <c r="A57" t="s">
        <v>9</v>
      </c>
      <c r="B57" t="s">
        <v>94</v>
      </c>
      <c r="C57">
        <v>18</v>
      </c>
      <c r="D57">
        <v>3.9</v>
      </c>
      <c r="E57">
        <v>5</v>
      </c>
      <c r="F57">
        <v>2883</v>
      </c>
    </row>
    <row r="58" spans="1:6" x14ac:dyDescent="0.3">
      <c r="A58" t="s">
        <v>9</v>
      </c>
      <c r="B58" t="s">
        <v>95</v>
      </c>
      <c r="C58">
        <v>42</v>
      </c>
      <c r="D58">
        <v>4.7</v>
      </c>
      <c r="E58">
        <v>5</v>
      </c>
      <c r="F58">
        <v>52898</v>
      </c>
    </row>
    <row r="59" spans="1:6" x14ac:dyDescent="0.3">
      <c r="A59" t="s">
        <v>9</v>
      </c>
      <c r="B59" t="s">
        <v>96</v>
      </c>
      <c r="C59">
        <v>19</v>
      </c>
      <c r="D59">
        <v>4.5999999999999996</v>
      </c>
      <c r="E59">
        <v>3</v>
      </c>
      <c r="F59">
        <v>22000</v>
      </c>
    </row>
    <row r="60" spans="1:6" x14ac:dyDescent="0.3">
      <c r="A60" t="s">
        <v>9</v>
      </c>
      <c r="B60" t="s">
        <v>97</v>
      </c>
      <c r="C60">
        <v>20</v>
      </c>
      <c r="D60">
        <v>4.7</v>
      </c>
      <c r="E60">
        <v>3</v>
      </c>
      <c r="F60">
        <v>38147</v>
      </c>
    </row>
    <row r="61" spans="1:6" x14ac:dyDescent="0.3">
      <c r="A61" t="s">
        <v>9</v>
      </c>
      <c r="B61" t="s">
        <v>98</v>
      </c>
      <c r="C61">
        <v>17</v>
      </c>
      <c r="D61">
        <v>4.5</v>
      </c>
      <c r="E61">
        <v>5</v>
      </c>
      <c r="F61">
        <v>1400</v>
      </c>
    </row>
    <row r="62" spans="1:6" x14ac:dyDescent="0.3">
      <c r="A62" t="s">
        <v>9</v>
      </c>
      <c r="B62" t="s">
        <v>99</v>
      </c>
      <c r="C62">
        <v>18</v>
      </c>
      <c r="D62">
        <v>4.8</v>
      </c>
      <c r="E62">
        <v>3</v>
      </c>
      <c r="F62">
        <v>1200</v>
      </c>
    </row>
    <row r="63" spans="1:6" x14ac:dyDescent="0.3">
      <c r="A63" t="s">
        <v>10</v>
      </c>
      <c r="B63" t="s">
        <v>100</v>
      </c>
      <c r="C63">
        <v>23</v>
      </c>
      <c r="D63">
        <v>4.4000000000000004</v>
      </c>
      <c r="E63">
        <v>5</v>
      </c>
      <c r="F63">
        <v>48916</v>
      </c>
    </row>
    <row r="64" spans="1:6" x14ac:dyDescent="0.3">
      <c r="A64" t="s">
        <v>10</v>
      </c>
      <c r="B64" t="s">
        <v>101</v>
      </c>
      <c r="C64">
        <v>23.5</v>
      </c>
      <c r="D64">
        <v>4.5999999999999996</v>
      </c>
      <c r="E64">
        <v>4</v>
      </c>
      <c r="F64">
        <v>32000</v>
      </c>
    </row>
    <row r="65" spans="1:6" x14ac:dyDescent="0.3">
      <c r="A65" t="s">
        <v>10</v>
      </c>
      <c r="B65" t="s">
        <v>102</v>
      </c>
      <c r="C65">
        <v>26</v>
      </c>
      <c r="D65">
        <v>4.5999999999999996</v>
      </c>
      <c r="E65">
        <v>2</v>
      </c>
      <c r="F65">
        <v>52262</v>
      </c>
    </row>
    <row r="66" spans="1:6" x14ac:dyDescent="0.3">
      <c r="A66" t="s">
        <v>10</v>
      </c>
      <c r="B66" t="s">
        <v>103</v>
      </c>
      <c r="C66">
        <v>12</v>
      </c>
      <c r="D66">
        <v>4.5</v>
      </c>
      <c r="E66">
        <v>5</v>
      </c>
      <c r="F66">
        <v>35063</v>
      </c>
    </row>
    <row r="67" spans="1:6" x14ac:dyDescent="0.3">
      <c r="A67" t="s">
        <v>10</v>
      </c>
      <c r="B67" t="s">
        <v>104</v>
      </c>
      <c r="C67">
        <v>16.5</v>
      </c>
      <c r="D67">
        <v>4.8</v>
      </c>
      <c r="E67">
        <v>5</v>
      </c>
      <c r="F67">
        <v>98181</v>
      </c>
    </row>
    <row r="68" spans="1:6" x14ac:dyDescent="0.3">
      <c r="A68" t="s">
        <v>10</v>
      </c>
      <c r="B68" t="s">
        <v>105</v>
      </c>
      <c r="C68">
        <v>19.5</v>
      </c>
      <c r="D68">
        <v>4.5999999999999996</v>
      </c>
      <c r="E68">
        <v>5</v>
      </c>
      <c r="F68">
        <v>98181</v>
      </c>
    </row>
    <row r="69" spans="1:6" x14ac:dyDescent="0.3">
      <c r="A69" t="s">
        <v>10</v>
      </c>
      <c r="B69" t="s">
        <v>106</v>
      </c>
      <c r="C69">
        <v>19</v>
      </c>
      <c r="D69">
        <v>4.8</v>
      </c>
      <c r="E69">
        <v>5</v>
      </c>
      <c r="F69">
        <v>400</v>
      </c>
    </row>
    <row r="70" spans="1:6" x14ac:dyDescent="0.3">
      <c r="A70" t="s">
        <v>10</v>
      </c>
      <c r="B70" t="s">
        <v>107</v>
      </c>
      <c r="C70">
        <v>17</v>
      </c>
      <c r="D70">
        <v>3.8</v>
      </c>
      <c r="E70">
        <v>3</v>
      </c>
      <c r="F70">
        <v>2986</v>
      </c>
    </row>
    <row r="71" spans="1:6" x14ac:dyDescent="0.3">
      <c r="A71" t="s">
        <v>10</v>
      </c>
      <c r="B71" t="s">
        <v>108</v>
      </c>
      <c r="C71">
        <v>25</v>
      </c>
      <c r="D71">
        <v>4.5999999999999996</v>
      </c>
      <c r="E71">
        <v>5</v>
      </c>
      <c r="F71">
        <v>2348</v>
      </c>
    </row>
    <row r="72" spans="1:6" x14ac:dyDescent="0.3">
      <c r="A72" t="s">
        <v>10</v>
      </c>
      <c r="B72" t="s">
        <v>109</v>
      </c>
      <c r="C72">
        <v>14</v>
      </c>
      <c r="D72">
        <v>4.8</v>
      </c>
      <c r="E72">
        <v>5</v>
      </c>
      <c r="F72">
        <v>35063</v>
      </c>
    </row>
    <row r="73" spans="1:6" x14ac:dyDescent="0.3">
      <c r="A73" t="s">
        <v>10</v>
      </c>
      <c r="B73" t="s">
        <v>110</v>
      </c>
      <c r="C73">
        <v>23</v>
      </c>
      <c r="D73">
        <v>4.8</v>
      </c>
      <c r="E73">
        <v>3</v>
      </c>
      <c r="F73">
        <v>5973</v>
      </c>
    </row>
    <row r="74" spans="1:6" x14ac:dyDescent="0.3">
      <c r="A74" t="s">
        <v>10</v>
      </c>
      <c r="B74" t="s">
        <v>111</v>
      </c>
      <c r="C74">
        <v>21.5</v>
      </c>
      <c r="D74">
        <v>4.8</v>
      </c>
      <c r="E74">
        <v>5</v>
      </c>
      <c r="F74">
        <v>1457</v>
      </c>
    </row>
    <row r="75" spans="1:6" x14ac:dyDescent="0.3">
      <c r="A75" t="s">
        <v>11</v>
      </c>
      <c r="B75" t="s">
        <v>112</v>
      </c>
      <c r="C75">
        <v>18.5</v>
      </c>
      <c r="D75">
        <v>4.7</v>
      </c>
      <c r="E75">
        <v>3</v>
      </c>
      <c r="F75">
        <v>100423</v>
      </c>
    </row>
    <row r="76" spans="1:6" x14ac:dyDescent="0.3">
      <c r="A76" t="s">
        <v>11</v>
      </c>
      <c r="B76" t="s">
        <v>113</v>
      </c>
      <c r="C76">
        <v>16</v>
      </c>
      <c r="D76">
        <v>4.4000000000000004</v>
      </c>
      <c r="E76">
        <v>3</v>
      </c>
      <c r="F76">
        <v>81384</v>
      </c>
    </row>
    <row r="77" spans="1:6" x14ac:dyDescent="0.3">
      <c r="A77" t="s">
        <v>11</v>
      </c>
      <c r="B77" t="s">
        <v>114</v>
      </c>
      <c r="C77">
        <v>17</v>
      </c>
      <c r="D77">
        <v>4.5999999999999996</v>
      </c>
      <c r="E77">
        <v>3</v>
      </c>
      <c r="F77">
        <v>14478</v>
      </c>
    </row>
    <row r="78" spans="1:6" x14ac:dyDescent="0.3">
      <c r="A78" t="s">
        <v>11</v>
      </c>
      <c r="B78" t="s">
        <v>115</v>
      </c>
      <c r="C78">
        <v>17.5</v>
      </c>
      <c r="D78">
        <v>4.5</v>
      </c>
      <c r="E78">
        <v>3</v>
      </c>
      <c r="F78">
        <v>63167</v>
      </c>
    </row>
    <row r="79" spans="1:6" x14ac:dyDescent="0.3">
      <c r="A79" t="s">
        <v>11</v>
      </c>
      <c r="B79" t="s">
        <v>116</v>
      </c>
      <c r="C79">
        <v>18.5</v>
      </c>
      <c r="D79">
        <v>4.5</v>
      </c>
      <c r="E79">
        <v>5</v>
      </c>
      <c r="F79">
        <v>45000</v>
      </c>
    </row>
    <row r="80" spans="1:6" x14ac:dyDescent="0.3">
      <c r="A80" t="s">
        <v>11</v>
      </c>
      <c r="B80" t="s">
        <v>117</v>
      </c>
      <c r="C80">
        <v>14</v>
      </c>
      <c r="D80">
        <v>2.6</v>
      </c>
      <c r="E80">
        <v>5</v>
      </c>
      <c r="F80">
        <v>148</v>
      </c>
    </row>
    <row r="81" spans="1:6" x14ac:dyDescent="0.3">
      <c r="A81" t="s">
        <v>11</v>
      </c>
      <c r="B81" t="s">
        <v>118</v>
      </c>
      <c r="C81">
        <v>55</v>
      </c>
      <c r="D81">
        <v>4.8</v>
      </c>
      <c r="E81">
        <v>5</v>
      </c>
      <c r="F81">
        <v>660</v>
      </c>
    </row>
    <row r="82" spans="1:6" x14ac:dyDescent="0.3">
      <c r="A82" t="s">
        <v>11</v>
      </c>
      <c r="B82" t="s">
        <v>119</v>
      </c>
      <c r="C82">
        <v>45</v>
      </c>
      <c r="D82">
        <v>4.7</v>
      </c>
      <c r="E82">
        <v>5</v>
      </c>
      <c r="F82">
        <v>700</v>
      </c>
    </row>
    <row r="83" spans="1:6" x14ac:dyDescent="0.3">
      <c r="A83" t="s">
        <v>12</v>
      </c>
      <c r="B83" t="s">
        <v>120</v>
      </c>
      <c r="C83">
        <v>18.5</v>
      </c>
      <c r="D83">
        <v>4.9000000000000004</v>
      </c>
      <c r="E83">
        <v>5</v>
      </c>
      <c r="F83">
        <v>3685</v>
      </c>
    </row>
    <row r="84" spans="1:6" x14ac:dyDescent="0.3">
      <c r="A84" t="s">
        <v>12</v>
      </c>
      <c r="B84" t="s">
        <v>121</v>
      </c>
      <c r="C84">
        <v>15</v>
      </c>
      <c r="D84">
        <v>4.9000000000000004</v>
      </c>
      <c r="E84">
        <v>5</v>
      </c>
      <c r="F84">
        <v>1242</v>
      </c>
    </row>
    <row r="85" spans="1:6" x14ac:dyDescent="0.3">
      <c r="A85" t="s">
        <v>12</v>
      </c>
      <c r="B85" t="s">
        <v>122</v>
      </c>
      <c r="C85">
        <v>12</v>
      </c>
      <c r="D85">
        <v>4.9000000000000004</v>
      </c>
      <c r="E85">
        <v>5</v>
      </c>
      <c r="F85">
        <v>2056</v>
      </c>
    </row>
    <row r="86" spans="1:6" x14ac:dyDescent="0.3">
      <c r="A86" t="s">
        <v>12</v>
      </c>
      <c r="B86" t="s">
        <v>123</v>
      </c>
      <c r="C86">
        <v>11</v>
      </c>
      <c r="D86">
        <v>4.9000000000000004</v>
      </c>
      <c r="E86">
        <v>5</v>
      </c>
      <c r="F86">
        <v>3589</v>
      </c>
    </row>
    <row r="87" spans="1:6" x14ac:dyDescent="0.3">
      <c r="A87" t="s">
        <v>12</v>
      </c>
      <c r="B87" t="s">
        <v>124</v>
      </c>
      <c r="C87">
        <v>18</v>
      </c>
      <c r="D87">
        <v>4.5</v>
      </c>
      <c r="E87">
        <v>5</v>
      </c>
      <c r="F87">
        <v>3454</v>
      </c>
    </row>
    <row r="88" spans="1:6" x14ac:dyDescent="0.3">
      <c r="A88" t="s">
        <v>12</v>
      </c>
      <c r="B88" t="s">
        <v>125</v>
      </c>
      <c r="C88">
        <v>15</v>
      </c>
      <c r="D88">
        <v>4.8</v>
      </c>
      <c r="E88">
        <v>5</v>
      </c>
      <c r="F88">
        <v>1125</v>
      </c>
    </row>
    <row r="89" spans="1:6" x14ac:dyDescent="0.3">
      <c r="A89" t="s">
        <v>12</v>
      </c>
      <c r="B89" t="s">
        <v>126</v>
      </c>
      <c r="C89">
        <v>13</v>
      </c>
      <c r="D89">
        <v>4.8</v>
      </c>
      <c r="E89">
        <v>5</v>
      </c>
      <c r="F89">
        <v>875</v>
      </c>
    </row>
    <row r="90" spans="1:6" x14ac:dyDescent="0.3">
      <c r="A90" t="s">
        <v>12</v>
      </c>
      <c r="B90" t="s">
        <v>127</v>
      </c>
      <c r="C90">
        <v>12.5</v>
      </c>
      <c r="D90">
        <v>4.7</v>
      </c>
      <c r="E90">
        <v>5</v>
      </c>
      <c r="F90">
        <v>1570</v>
      </c>
    </row>
    <row r="91" spans="1:6" x14ac:dyDescent="0.3">
      <c r="A91" t="s">
        <v>12</v>
      </c>
      <c r="B91" t="s">
        <v>128</v>
      </c>
      <c r="C91">
        <v>10</v>
      </c>
      <c r="D91">
        <v>4.8</v>
      </c>
      <c r="E91">
        <v>5</v>
      </c>
      <c r="F91">
        <v>2007</v>
      </c>
    </row>
    <row r="92" spans="1:6" x14ac:dyDescent="0.3">
      <c r="A92" t="s">
        <v>12</v>
      </c>
      <c r="B92" t="s">
        <v>129</v>
      </c>
      <c r="C92">
        <v>14</v>
      </c>
      <c r="D92">
        <v>4.8</v>
      </c>
      <c r="E92">
        <v>5</v>
      </c>
      <c r="F92">
        <v>865</v>
      </c>
    </row>
    <row r="93" spans="1:6" x14ac:dyDescent="0.3">
      <c r="A93" t="s">
        <v>12</v>
      </c>
      <c r="B93" t="s">
        <v>130</v>
      </c>
      <c r="C93">
        <v>16</v>
      </c>
      <c r="D93">
        <v>4.5999999999999996</v>
      </c>
      <c r="E93">
        <v>5</v>
      </c>
      <c r="F93">
        <v>458</v>
      </c>
    </row>
    <row r="94" spans="1:6" x14ac:dyDescent="0.3">
      <c r="A94" t="s">
        <v>12</v>
      </c>
      <c r="B94" t="s">
        <v>131</v>
      </c>
      <c r="C94">
        <v>12</v>
      </c>
      <c r="D94">
        <v>4.7</v>
      </c>
      <c r="E94">
        <v>5</v>
      </c>
      <c r="F94">
        <v>7784</v>
      </c>
    </row>
    <row r="95" spans="1:6" x14ac:dyDescent="0.3">
      <c r="A95" t="s">
        <v>12</v>
      </c>
      <c r="B95" t="s">
        <v>132</v>
      </c>
      <c r="C95">
        <v>7</v>
      </c>
      <c r="D95">
        <v>4.8</v>
      </c>
      <c r="E95">
        <v>5</v>
      </c>
      <c r="F95">
        <v>2598</v>
      </c>
    </row>
    <row r="96" spans="1:6" x14ac:dyDescent="0.3">
      <c r="A96" t="s">
        <v>12</v>
      </c>
      <c r="B96" t="s">
        <v>133</v>
      </c>
      <c r="C96">
        <v>10</v>
      </c>
      <c r="D96">
        <v>4.7</v>
      </c>
      <c r="E96">
        <v>5</v>
      </c>
      <c r="F96">
        <v>4875</v>
      </c>
    </row>
    <row r="97" spans="1:6" x14ac:dyDescent="0.3">
      <c r="A97" t="s">
        <v>12</v>
      </c>
      <c r="B97" t="s">
        <v>134</v>
      </c>
      <c r="C97">
        <v>60</v>
      </c>
      <c r="D97">
        <v>4.7</v>
      </c>
      <c r="E97">
        <v>5</v>
      </c>
      <c r="F97">
        <v>1212</v>
      </c>
    </row>
    <row r="98" spans="1:6" x14ac:dyDescent="0.3">
      <c r="A98" t="s">
        <v>12</v>
      </c>
      <c r="B98" t="s">
        <v>135</v>
      </c>
      <c r="C98">
        <v>61</v>
      </c>
      <c r="D98">
        <v>4.7</v>
      </c>
      <c r="E98">
        <v>5</v>
      </c>
      <c r="F98">
        <v>8974</v>
      </c>
    </row>
    <row r="99" spans="1:6" x14ac:dyDescent="0.3">
      <c r="A99" t="s">
        <v>12</v>
      </c>
      <c r="B99" t="s">
        <v>136</v>
      </c>
      <c r="C99">
        <v>10.5</v>
      </c>
      <c r="D99">
        <v>4.5999999999999996</v>
      </c>
      <c r="E99">
        <v>5</v>
      </c>
      <c r="F99">
        <v>1447</v>
      </c>
    </row>
    <row r="100" spans="1:6" x14ac:dyDescent="0.3">
      <c r="A100" t="s">
        <v>12</v>
      </c>
      <c r="B100" t="s">
        <v>137</v>
      </c>
      <c r="C100">
        <v>11</v>
      </c>
      <c r="D100">
        <v>4.8</v>
      </c>
      <c r="E100">
        <v>5</v>
      </c>
      <c r="F100">
        <v>1477</v>
      </c>
    </row>
    <row r="101" spans="1:6" x14ac:dyDescent="0.3">
      <c r="A101" t="s">
        <v>12</v>
      </c>
      <c r="B101" t="s">
        <v>138</v>
      </c>
      <c r="C101">
        <v>10.5</v>
      </c>
      <c r="D101">
        <v>4.3</v>
      </c>
      <c r="E101">
        <v>5</v>
      </c>
      <c r="F101">
        <v>3589</v>
      </c>
    </row>
    <row r="102" spans="1:6" x14ac:dyDescent="0.3">
      <c r="A102" t="s">
        <v>12</v>
      </c>
      <c r="B102" t="s">
        <v>139</v>
      </c>
      <c r="C102">
        <v>10</v>
      </c>
      <c r="D102">
        <v>4.5999999999999996</v>
      </c>
      <c r="E102">
        <v>5</v>
      </c>
      <c r="F102">
        <v>1212</v>
      </c>
    </row>
    <row r="103" spans="1:6" x14ac:dyDescent="0.3">
      <c r="A103" t="s">
        <v>12</v>
      </c>
      <c r="B103" t="s">
        <v>140</v>
      </c>
      <c r="C103">
        <v>12</v>
      </c>
      <c r="D103">
        <v>4.5999999999999996</v>
      </c>
      <c r="E103">
        <v>5</v>
      </c>
      <c r="F103">
        <v>1189</v>
      </c>
    </row>
    <row r="104" spans="1:6" x14ac:dyDescent="0.3">
      <c r="A104" t="s">
        <v>12</v>
      </c>
      <c r="B104" t="s">
        <v>141</v>
      </c>
      <c r="C104">
        <v>12</v>
      </c>
      <c r="D104">
        <v>4.5999999999999996</v>
      </c>
      <c r="E104">
        <v>5</v>
      </c>
      <c r="F104">
        <v>12000</v>
      </c>
    </row>
    <row r="105" spans="1:6" x14ac:dyDescent="0.3">
      <c r="A105" t="s">
        <v>13</v>
      </c>
      <c r="B105" t="s">
        <v>142</v>
      </c>
      <c r="C105">
        <v>19</v>
      </c>
      <c r="D105">
        <v>4.8</v>
      </c>
      <c r="E105">
        <v>5</v>
      </c>
      <c r="F105">
        <v>22289</v>
      </c>
    </row>
    <row r="106" spans="1:6" x14ac:dyDescent="0.3">
      <c r="A106" t="s">
        <v>13</v>
      </c>
      <c r="B106" t="s">
        <v>143</v>
      </c>
      <c r="C106">
        <v>19</v>
      </c>
      <c r="D106">
        <v>4.7</v>
      </c>
      <c r="E106">
        <v>5</v>
      </c>
      <c r="F106">
        <v>19092</v>
      </c>
    </row>
    <row r="107" spans="1:6" x14ac:dyDescent="0.3">
      <c r="A107" t="s">
        <v>13</v>
      </c>
      <c r="B107" t="s">
        <v>144</v>
      </c>
      <c r="C107">
        <v>18.5</v>
      </c>
      <c r="D107">
        <v>4.4000000000000004</v>
      </c>
      <c r="E107">
        <v>5</v>
      </c>
      <c r="F107">
        <v>23395</v>
      </c>
    </row>
    <row r="108" spans="1:6" x14ac:dyDescent="0.3">
      <c r="A108" t="s">
        <v>13</v>
      </c>
      <c r="B108" t="s">
        <v>145</v>
      </c>
      <c r="C108">
        <v>14</v>
      </c>
      <c r="D108">
        <v>4.8</v>
      </c>
      <c r="E108">
        <v>5</v>
      </c>
      <c r="F108">
        <v>1887</v>
      </c>
    </row>
    <row r="109" spans="1:6" x14ac:dyDescent="0.3">
      <c r="A109" t="s">
        <v>14</v>
      </c>
      <c r="B109" t="s">
        <v>146</v>
      </c>
      <c r="C109">
        <v>17</v>
      </c>
      <c r="D109">
        <v>4.7</v>
      </c>
      <c r="E109">
        <v>5</v>
      </c>
      <c r="F109">
        <v>1145</v>
      </c>
    </row>
    <row r="110" spans="1:6" x14ac:dyDescent="0.3">
      <c r="A110" t="s">
        <v>14</v>
      </c>
      <c r="B110" t="s">
        <v>147</v>
      </c>
      <c r="C110">
        <v>6</v>
      </c>
      <c r="D110">
        <v>4.7</v>
      </c>
      <c r="E110">
        <v>5</v>
      </c>
      <c r="F110">
        <v>1124</v>
      </c>
    </row>
    <row r="111" spans="1:6" x14ac:dyDescent="0.3">
      <c r="A111" t="s">
        <v>14</v>
      </c>
      <c r="B111" t="s">
        <v>148</v>
      </c>
      <c r="C111">
        <v>7</v>
      </c>
      <c r="D111">
        <v>4.7</v>
      </c>
      <c r="E111">
        <v>5</v>
      </c>
      <c r="F111">
        <v>11987</v>
      </c>
    </row>
    <row r="112" spans="1:6" x14ac:dyDescent="0.3">
      <c r="A112" t="s">
        <v>14</v>
      </c>
      <c r="B112" t="s">
        <v>149</v>
      </c>
      <c r="C112">
        <v>9.5</v>
      </c>
      <c r="D112">
        <v>4.8</v>
      </c>
      <c r="E112">
        <v>5</v>
      </c>
      <c r="F112">
        <v>20478</v>
      </c>
    </row>
    <row r="113" spans="1:6" x14ac:dyDescent="0.3">
      <c r="A113" t="s">
        <v>14</v>
      </c>
      <c r="B113" t="s">
        <v>150</v>
      </c>
      <c r="C113">
        <v>8</v>
      </c>
      <c r="D113">
        <v>4.7</v>
      </c>
      <c r="E113">
        <v>5</v>
      </c>
      <c r="F113">
        <v>1178</v>
      </c>
    </row>
    <row r="114" spans="1:6" x14ac:dyDescent="0.3">
      <c r="A114" t="s">
        <v>14</v>
      </c>
      <c r="B114" t="s">
        <v>151</v>
      </c>
      <c r="C114">
        <v>11</v>
      </c>
      <c r="D114">
        <v>4.8</v>
      </c>
      <c r="E114">
        <v>5</v>
      </c>
      <c r="F114">
        <v>568</v>
      </c>
    </row>
    <row r="115" spans="1:6" x14ac:dyDescent="0.3">
      <c r="A115" t="s">
        <v>14</v>
      </c>
      <c r="B115" t="s">
        <v>152</v>
      </c>
      <c r="C115">
        <v>8.5</v>
      </c>
      <c r="D115">
        <v>4.3</v>
      </c>
      <c r="E115">
        <v>5</v>
      </c>
      <c r="F115">
        <v>1457</v>
      </c>
    </row>
    <row r="116" spans="1:6" x14ac:dyDescent="0.3">
      <c r="A116" t="s">
        <v>14</v>
      </c>
      <c r="B116" t="s">
        <v>153</v>
      </c>
      <c r="C116">
        <v>8</v>
      </c>
      <c r="D116">
        <v>4.7</v>
      </c>
      <c r="E116">
        <v>5</v>
      </c>
      <c r="F116">
        <v>339</v>
      </c>
    </row>
    <row r="117" spans="1:6" x14ac:dyDescent="0.3">
      <c r="A117" t="s">
        <v>14</v>
      </c>
      <c r="B117" t="s">
        <v>154</v>
      </c>
      <c r="C117">
        <v>10</v>
      </c>
      <c r="D117">
        <v>4.8</v>
      </c>
      <c r="E117">
        <v>5</v>
      </c>
      <c r="F117">
        <v>56</v>
      </c>
    </row>
    <row r="118" spans="1:6" x14ac:dyDescent="0.3">
      <c r="A118" t="s">
        <v>14</v>
      </c>
      <c r="B118" t="s">
        <v>155</v>
      </c>
      <c r="C118">
        <v>13.5</v>
      </c>
      <c r="D118">
        <v>4.5</v>
      </c>
      <c r="E118">
        <v>5</v>
      </c>
      <c r="F118">
        <v>1768</v>
      </c>
    </row>
    <row r="119" spans="1:6" x14ac:dyDescent="0.3">
      <c r="A119" t="s">
        <v>14</v>
      </c>
      <c r="B119" t="s">
        <v>156</v>
      </c>
      <c r="C119">
        <v>6</v>
      </c>
      <c r="D119">
        <v>4.5999999999999996</v>
      </c>
      <c r="E119">
        <v>5</v>
      </c>
      <c r="F119">
        <v>3480</v>
      </c>
    </row>
    <row r="120" spans="1:6" x14ac:dyDescent="0.3">
      <c r="A120" t="s">
        <v>14</v>
      </c>
      <c r="B120" t="s">
        <v>157</v>
      </c>
      <c r="C120">
        <v>7</v>
      </c>
      <c r="D120">
        <v>4.2</v>
      </c>
      <c r="E120">
        <v>5</v>
      </c>
      <c r="F120">
        <v>5192</v>
      </c>
    </row>
    <row r="121" spans="1:6" x14ac:dyDescent="0.3">
      <c r="A121" t="s">
        <v>14</v>
      </c>
      <c r="B121" t="s">
        <v>158</v>
      </c>
      <c r="C121">
        <v>10</v>
      </c>
      <c r="D121">
        <v>4.5999999999999996</v>
      </c>
      <c r="E121">
        <v>5</v>
      </c>
      <c r="F121">
        <v>6904</v>
      </c>
    </row>
    <row r="122" spans="1:6" x14ac:dyDescent="0.3">
      <c r="A122" t="s">
        <v>14</v>
      </c>
      <c r="B122" t="s">
        <v>159</v>
      </c>
      <c r="C122">
        <v>9.5</v>
      </c>
      <c r="D122">
        <v>4.7</v>
      </c>
      <c r="E122">
        <v>5</v>
      </c>
      <c r="F122">
        <v>8616</v>
      </c>
    </row>
    <row r="123" spans="1:6" x14ac:dyDescent="0.3">
      <c r="A123" t="s">
        <v>14</v>
      </c>
      <c r="B123" t="s">
        <v>160</v>
      </c>
      <c r="C123">
        <v>12.5</v>
      </c>
      <c r="D123">
        <v>4.5999999999999996</v>
      </c>
      <c r="E123">
        <v>5</v>
      </c>
      <c r="F123">
        <v>10328</v>
      </c>
    </row>
    <row r="124" spans="1:6" x14ac:dyDescent="0.3">
      <c r="A124" t="s">
        <v>14</v>
      </c>
      <c r="B124" t="s">
        <v>161</v>
      </c>
      <c r="C124">
        <v>11</v>
      </c>
      <c r="D124">
        <v>4.5999999999999996</v>
      </c>
      <c r="E124">
        <v>5</v>
      </c>
      <c r="F124">
        <v>12040</v>
      </c>
    </row>
    <row r="125" spans="1:6" x14ac:dyDescent="0.3">
      <c r="A125" t="s">
        <v>14</v>
      </c>
      <c r="B125" t="s">
        <v>162</v>
      </c>
      <c r="C125">
        <v>12</v>
      </c>
      <c r="D125">
        <v>4.9000000000000004</v>
      </c>
      <c r="E125">
        <v>5</v>
      </c>
      <c r="F125">
        <v>13752</v>
      </c>
    </row>
    <row r="126" spans="1:6" x14ac:dyDescent="0.3">
      <c r="A126" t="s">
        <v>14</v>
      </c>
      <c r="B126" t="s">
        <v>163</v>
      </c>
      <c r="C126">
        <v>7.5</v>
      </c>
      <c r="D126">
        <v>4.9000000000000004</v>
      </c>
      <c r="E126">
        <v>5</v>
      </c>
      <c r="F126">
        <v>15464</v>
      </c>
    </row>
    <row r="127" spans="1:6" x14ac:dyDescent="0.3">
      <c r="A127" t="s">
        <v>14</v>
      </c>
      <c r="B127" t="s">
        <v>164</v>
      </c>
      <c r="C127">
        <v>9</v>
      </c>
      <c r="D127">
        <v>4.9000000000000004</v>
      </c>
      <c r="E127">
        <v>5</v>
      </c>
      <c r="F127">
        <v>17176</v>
      </c>
    </row>
    <row r="128" spans="1:6" x14ac:dyDescent="0.3">
      <c r="A128" t="s">
        <v>14</v>
      </c>
      <c r="B128" t="s">
        <v>165</v>
      </c>
      <c r="C128">
        <v>13</v>
      </c>
      <c r="D128">
        <v>4.8</v>
      </c>
      <c r="E128">
        <v>5</v>
      </c>
      <c r="F128">
        <v>18888</v>
      </c>
    </row>
    <row r="129" spans="1:6" x14ac:dyDescent="0.3">
      <c r="A129" t="s">
        <v>14</v>
      </c>
      <c r="B129" t="s">
        <v>166</v>
      </c>
      <c r="C129">
        <v>11</v>
      </c>
      <c r="D129">
        <v>4.8</v>
      </c>
      <c r="E129">
        <v>5</v>
      </c>
      <c r="F129">
        <v>20600</v>
      </c>
    </row>
    <row r="130" spans="1:6" x14ac:dyDescent="0.3">
      <c r="A130" t="s">
        <v>14</v>
      </c>
      <c r="B130" t="s">
        <v>167</v>
      </c>
      <c r="C130">
        <v>9.5</v>
      </c>
      <c r="D130">
        <v>4.8</v>
      </c>
      <c r="E130">
        <v>5</v>
      </c>
      <c r="F130">
        <v>22312</v>
      </c>
    </row>
    <row r="131" spans="1:6" x14ac:dyDescent="0.3">
      <c r="A131" t="s">
        <v>14</v>
      </c>
      <c r="B131" t="s">
        <v>168</v>
      </c>
      <c r="C131">
        <v>9</v>
      </c>
      <c r="D131">
        <v>4.8</v>
      </c>
      <c r="E131">
        <v>5</v>
      </c>
      <c r="F131">
        <v>24024</v>
      </c>
    </row>
    <row r="132" spans="1:6" x14ac:dyDescent="0.3">
      <c r="A132" t="s">
        <v>14</v>
      </c>
      <c r="B132" t="s">
        <v>169</v>
      </c>
      <c r="C132">
        <v>12</v>
      </c>
      <c r="D132">
        <v>4.7</v>
      </c>
      <c r="E132">
        <v>5</v>
      </c>
      <c r="F132">
        <v>25736</v>
      </c>
    </row>
    <row r="133" spans="1:6" x14ac:dyDescent="0.3">
      <c r="A133" t="s">
        <v>14</v>
      </c>
      <c r="B133" t="s">
        <v>170</v>
      </c>
      <c r="C133">
        <v>7.5</v>
      </c>
      <c r="D133">
        <v>4.4000000000000004</v>
      </c>
      <c r="E133">
        <v>5</v>
      </c>
      <c r="F133">
        <v>27448</v>
      </c>
    </row>
    <row r="134" spans="1:6" x14ac:dyDescent="0.3">
      <c r="A134" t="s">
        <v>14</v>
      </c>
      <c r="B134" t="s">
        <v>171</v>
      </c>
      <c r="C134">
        <v>9</v>
      </c>
      <c r="D134">
        <v>4.8</v>
      </c>
      <c r="E134">
        <v>5</v>
      </c>
      <c r="F134">
        <v>29160</v>
      </c>
    </row>
    <row r="135" spans="1:6" x14ac:dyDescent="0.3">
      <c r="A135" t="s">
        <v>14</v>
      </c>
      <c r="B135" t="s">
        <v>172</v>
      </c>
      <c r="C135">
        <v>10</v>
      </c>
      <c r="D135">
        <v>4.8</v>
      </c>
      <c r="E135">
        <v>5</v>
      </c>
      <c r="F135">
        <v>30872</v>
      </c>
    </row>
    <row r="136" spans="1:6" x14ac:dyDescent="0.3">
      <c r="A136" t="s">
        <v>14</v>
      </c>
      <c r="B136" t="s">
        <v>173</v>
      </c>
      <c r="C136">
        <v>9.5</v>
      </c>
      <c r="D136">
        <v>4.8</v>
      </c>
      <c r="E136">
        <v>5</v>
      </c>
      <c r="F136">
        <v>32584</v>
      </c>
    </row>
    <row r="137" spans="1:6" x14ac:dyDescent="0.3">
      <c r="A137" t="s">
        <v>14</v>
      </c>
      <c r="B137" t="s">
        <v>174</v>
      </c>
      <c r="C137">
        <v>12.5</v>
      </c>
      <c r="D137">
        <v>4.7</v>
      </c>
      <c r="E137">
        <v>5</v>
      </c>
      <c r="F137">
        <v>34296</v>
      </c>
    </row>
    <row r="138" spans="1:6" x14ac:dyDescent="0.3">
      <c r="A138" t="s">
        <v>14</v>
      </c>
      <c r="B138" t="s">
        <v>175</v>
      </c>
      <c r="C138">
        <v>11</v>
      </c>
      <c r="D138">
        <v>4.8</v>
      </c>
      <c r="E138">
        <v>5</v>
      </c>
      <c r="F138">
        <v>36008</v>
      </c>
    </row>
    <row r="139" spans="1:6" x14ac:dyDescent="0.3">
      <c r="A139" t="s">
        <v>14</v>
      </c>
      <c r="B139" t="s">
        <v>176</v>
      </c>
      <c r="C139">
        <v>12</v>
      </c>
      <c r="D139">
        <v>4.9000000000000004</v>
      </c>
      <c r="E139">
        <v>5</v>
      </c>
      <c r="F139">
        <v>37720</v>
      </c>
    </row>
    <row r="140" spans="1:6" x14ac:dyDescent="0.3">
      <c r="A140" t="s">
        <v>14</v>
      </c>
      <c r="B140" t="s">
        <v>177</v>
      </c>
      <c r="C140">
        <v>10</v>
      </c>
      <c r="D140">
        <v>4.8</v>
      </c>
      <c r="E140">
        <v>5</v>
      </c>
      <c r="F140">
        <v>39432</v>
      </c>
    </row>
    <row r="141" spans="1:6" x14ac:dyDescent="0.3">
      <c r="A141" t="s">
        <v>14</v>
      </c>
      <c r="B141" t="s">
        <v>178</v>
      </c>
      <c r="C141">
        <v>9.5</v>
      </c>
      <c r="D141">
        <v>4.9000000000000004</v>
      </c>
      <c r="E141">
        <v>5</v>
      </c>
      <c r="F141">
        <v>41144</v>
      </c>
    </row>
    <row r="142" spans="1:6" x14ac:dyDescent="0.3">
      <c r="A142" t="s">
        <v>15</v>
      </c>
      <c r="B142" t="s">
        <v>179</v>
      </c>
      <c r="C142">
        <v>12.5</v>
      </c>
      <c r="D142">
        <v>4.5999999999999996</v>
      </c>
      <c r="E142">
        <v>5</v>
      </c>
      <c r="F142">
        <v>33642</v>
      </c>
    </row>
    <row r="143" spans="1:6" x14ac:dyDescent="0.3">
      <c r="A143" t="s">
        <v>15</v>
      </c>
      <c r="B143" t="s">
        <v>180</v>
      </c>
      <c r="C143">
        <v>11</v>
      </c>
      <c r="D143">
        <v>4.5999999999999996</v>
      </c>
      <c r="E143">
        <v>5</v>
      </c>
      <c r="F143">
        <v>16925</v>
      </c>
    </row>
    <row r="144" spans="1:6" x14ac:dyDescent="0.3">
      <c r="A144" t="s">
        <v>15</v>
      </c>
      <c r="B144" t="s">
        <v>181</v>
      </c>
      <c r="C144">
        <v>12</v>
      </c>
      <c r="D144">
        <v>4.7</v>
      </c>
      <c r="E144">
        <v>2</v>
      </c>
      <c r="F144">
        <v>36017</v>
      </c>
    </row>
    <row r="145" spans="1:6" x14ac:dyDescent="0.3">
      <c r="A145" t="s">
        <v>15</v>
      </c>
      <c r="B145" t="s">
        <v>182</v>
      </c>
      <c r="C145">
        <v>21</v>
      </c>
      <c r="D145">
        <v>4.3</v>
      </c>
      <c r="E145">
        <v>4</v>
      </c>
      <c r="F145">
        <v>4589</v>
      </c>
    </row>
    <row r="146" spans="1:6" x14ac:dyDescent="0.3">
      <c r="A146" t="s">
        <v>15</v>
      </c>
      <c r="B146" t="s">
        <v>183</v>
      </c>
      <c r="C146">
        <v>27</v>
      </c>
      <c r="D146">
        <v>4.5999999999999996</v>
      </c>
      <c r="E146">
        <v>5</v>
      </c>
      <c r="F146">
        <v>25698</v>
      </c>
    </row>
    <row r="147" spans="1:6" x14ac:dyDescent="0.3">
      <c r="A147" t="s">
        <v>16</v>
      </c>
      <c r="B147" t="s">
        <v>184</v>
      </c>
      <c r="C147">
        <v>36</v>
      </c>
      <c r="D147">
        <v>4.5999999999999996</v>
      </c>
      <c r="E147">
        <v>4</v>
      </c>
      <c r="F147">
        <v>1475</v>
      </c>
    </row>
    <row r="148" spans="1:6" x14ac:dyDescent="0.3">
      <c r="A148" t="s">
        <v>16</v>
      </c>
      <c r="B148" t="s">
        <v>185</v>
      </c>
      <c r="C148">
        <v>20.5</v>
      </c>
      <c r="D148">
        <v>4.5</v>
      </c>
      <c r="E148">
        <v>4</v>
      </c>
      <c r="F148">
        <v>27435</v>
      </c>
    </row>
    <row r="149" spans="1:6" x14ac:dyDescent="0.3">
      <c r="A149" t="s">
        <v>16</v>
      </c>
      <c r="B149" t="s">
        <v>186</v>
      </c>
      <c r="C149">
        <v>40</v>
      </c>
      <c r="D149">
        <v>4.4000000000000004</v>
      </c>
      <c r="E149">
        <v>4</v>
      </c>
      <c r="F149">
        <v>2598</v>
      </c>
    </row>
    <row r="150" spans="1:6" x14ac:dyDescent="0.3">
      <c r="A150" t="s">
        <v>16</v>
      </c>
      <c r="B150" t="s">
        <v>187</v>
      </c>
      <c r="C150">
        <v>43</v>
      </c>
      <c r="D150">
        <v>4.0999999999999996</v>
      </c>
      <c r="E150">
        <v>5</v>
      </c>
      <c r="F150">
        <v>6298</v>
      </c>
    </row>
    <row r="151" spans="1:6" x14ac:dyDescent="0.3">
      <c r="A151" t="s">
        <v>16</v>
      </c>
      <c r="B151" t="s">
        <v>188</v>
      </c>
      <c r="C151">
        <v>17.5</v>
      </c>
      <c r="D151">
        <v>4.2</v>
      </c>
      <c r="E151">
        <v>5</v>
      </c>
      <c r="F151">
        <v>10569</v>
      </c>
    </row>
    <row r="152" spans="1:6" x14ac:dyDescent="0.3">
      <c r="A152" t="s">
        <v>16</v>
      </c>
      <c r="B152" t="s">
        <v>189</v>
      </c>
      <c r="C152">
        <v>16</v>
      </c>
      <c r="D152">
        <v>4.4000000000000004</v>
      </c>
      <c r="E152">
        <v>5</v>
      </c>
      <c r="F152">
        <v>11254</v>
      </c>
    </row>
    <row r="153" spans="1:6" x14ac:dyDescent="0.3">
      <c r="A153" t="s">
        <v>16</v>
      </c>
      <c r="B153" t="s">
        <v>190</v>
      </c>
      <c r="C153">
        <v>12.5</v>
      </c>
      <c r="D153">
        <v>4.2</v>
      </c>
      <c r="E153">
        <v>5</v>
      </c>
      <c r="F153">
        <v>2450</v>
      </c>
    </row>
    <row r="154" spans="1:6" x14ac:dyDescent="0.3">
      <c r="A154" t="s">
        <v>17</v>
      </c>
      <c r="B154" t="s">
        <v>191</v>
      </c>
      <c r="C154">
        <v>23</v>
      </c>
      <c r="D154">
        <v>4.8</v>
      </c>
      <c r="E154">
        <v>5</v>
      </c>
      <c r="F154">
        <v>1454</v>
      </c>
    </row>
    <row r="155" spans="1:6" x14ac:dyDescent="0.3">
      <c r="A155" t="s">
        <v>17</v>
      </c>
      <c r="B155" t="s">
        <v>192</v>
      </c>
      <c r="C155">
        <v>30</v>
      </c>
      <c r="D155">
        <v>4.8</v>
      </c>
      <c r="E155">
        <v>5</v>
      </c>
      <c r="F155">
        <v>756</v>
      </c>
    </row>
    <row r="156" spans="1:6" x14ac:dyDescent="0.3">
      <c r="A156" t="s">
        <v>17</v>
      </c>
      <c r="B156" t="s">
        <v>193</v>
      </c>
      <c r="C156">
        <v>11</v>
      </c>
      <c r="D156">
        <v>4.8</v>
      </c>
      <c r="E156">
        <v>5</v>
      </c>
      <c r="F156">
        <v>1487</v>
      </c>
    </row>
    <row r="157" spans="1:6" x14ac:dyDescent="0.3">
      <c r="A157" t="s">
        <v>17</v>
      </c>
      <c r="B157" t="s">
        <v>194</v>
      </c>
      <c r="C157">
        <v>10.5</v>
      </c>
      <c r="D157">
        <v>4.7</v>
      </c>
      <c r="E157">
        <v>5</v>
      </c>
      <c r="F157">
        <v>2298</v>
      </c>
    </row>
    <row r="158" spans="1:6" x14ac:dyDescent="0.3">
      <c r="A158" t="s">
        <v>17</v>
      </c>
      <c r="B158" t="s">
        <v>195</v>
      </c>
      <c r="C158">
        <v>12</v>
      </c>
      <c r="D158">
        <v>4.7</v>
      </c>
      <c r="E158">
        <v>5</v>
      </c>
      <c r="F158">
        <v>15879</v>
      </c>
    </row>
    <row r="159" spans="1:6" x14ac:dyDescent="0.3">
      <c r="A159" t="s">
        <v>17</v>
      </c>
      <c r="B159" t="s">
        <v>196</v>
      </c>
      <c r="C159">
        <v>11.5</v>
      </c>
      <c r="D159">
        <v>4.2</v>
      </c>
      <c r="E159">
        <v>5</v>
      </c>
      <c r="F159">
        <v>20056</v>
      </c>
    </row>
    <row r="160" spans="1:6" x14ac:dyDescent="0.3">
      <c r="A160" t="s">
        <v>17</v>
      </c>
      <c r="B160" t="s">
        <v>197</v>
      </c>
      <c r="C160">
        <v>10.5</v>
      </c>
      <c r="D160">
        <v>4.7</v>
      </c>
      <c r="E160">
        <v>5</v>
      </c>
      <c r="F160">
        <v>16789</v>
      </c>
    </row>
    <row r="161" spans="1:6" x14ac:dyDescent="0.3">
      <c r="A161" t="s">
        <v>18</v>
      </c>
      <c r="B161" t="s">
        <v>198</v>
      </c>
      <c r="C161">
        <v>18.5</v>
      </c>
      <c r="D161">
        <v>4.5</v>
      </c>
      <c r="E161">
        <v>4</v>
      </c>
      <c r="F161">
        <v>22446</v>
      </c>
    </row>
    <row r="162" spans="1:6" x14ac:dyDescent="0.3">
      <c r="A162" t="s">
        <v>18</v>
      </c>
      <c r="B162" t="s">
        <v>199</v>
      </c>
      <c r="C162">
        <v>21.5</v>
      </c>
      <c r="D162">
        <v>4.4000000000000004</v>
      </c>
      <c r="E162">
        <v>1</v>
      </c>
      <c r="F162">
        <v>10168</v>
      </c>
    </row>
    <row r="163" spans="1:6" x14ac:dyDescent="0.3">
      <c r="A163" t="s">
        <v>18</v>
      </c>
      <c r="B163" t="s">
        <v>200</v>
      </c>
      <c r="C163">
        <v>19</v>
      </c>
      <c r="D163">
        <v>4.5</v>
      </c>
      <c r="E163">
        <v>4</v>
      </c>
      <c r="F163">
        <v>12825</v>
      </c>
    </row>
    <row r="164" spans="1:6" x14ac:dyDescent="0.3">
      <c r="A164" t="s">
        <v>19</v>
      </c>
      <c r="B164" t="s">
        <v>201</v>
      </c>
      <c r="C164">
        <v>18.5</v>
      </c>
      <c r="D164">
        <v>4.4000000000000004</v>
      </c>
      <c r="E164">
        <v>4</v>
      </c>
      <c r="F164">
        <v>4474</v>
      </c>
    </row>
    <row r="165" spans="1:6" x14ac:dyDescent="0.3">
      <c r="A165" t="s">
        <v>19</v>
      </c>
      <c r="B165" t="s">
        <v>202</v>
      </c>
      <c r="C165">
        <v>18.5</v>
      </c>
      <c r="D165">
        <v>4.5999999999999996</v>
      </c>
      <c r="E165">
        <v>4</v>
      </c>
      <c r="F165">
        <v>2241</v>
      </c>
    </row>
    <row r="166" spans="1:6" x14ac:dyDescent="0.3">
      <c r="A166" t="s">
        <v>19</v>
      </c>
      <c r="B166" t="s">
        <v>203</v>
      </c>
      <c r="C166">
        <v>17.5</v>
      </c>
      <c r="D166">
        <v>4.5999999999999996</v>
      </c>
      <c r="E166">
        <v>4</v>
      </c>
      <c r="F166">
        <v>1832</v>
      </c>
    </row>
    <row r="167" spans="1:6" x14ac:dyDescent="0.3">
      <c r="A167" t="s">
        <v>19</v>
      </c>
      <c r="B167" t="s">
        <v>204</v>
      </c>
      <c r="C167">
        <v>37</v>
      </c>
      <c r="D167">
        <v>4.4000000000000004</v>
      </c>
      <c r="E167">
        <v>4</v>
      </c>
      <c r="F167">
        <v>2056</v>
      </c>
    </row>
    <row r="168" spans="1:6" x14ac:dyDescent="0.3">
      <c r="A168" t="s">
        <v>19</v>
      </c>
      <c r="B168" t="s">
        <v>205</v>
      </c>
      <c r="C168">
        <v>17</v>
      </c>
      <c r="D168">
        <v>4.0999999999999996</v>
      </c>
      <c r="E168">
        <v>4</v>
      </c>
      <c r="F168">
        <v>56</v>
      </c>
    </row>
    <row r="169" spans="1:6" x14ac:dyDescent="0.3">
      <c r="A169" t="s">
        <v>20</v>
      </c>
      <c r="B169" t="s">
        <v>206</v>
      </c>
      <c r="C169">
        <v>15</v>
      </c>
      <c r="D169">
        <v>4.2</v>
      </c>
      <c r="E169">
        <v>5</v>
      </c>
      <c r="F169">
        <v>1768</v>
      </c>
    </row>
    <row r="170" spans="1:6" x14ac:dyDescent="0.3">
      <c r="A170" t="s">
        <v>20</v>
      </c>
      <c r="B170" t="s">
        <v>207</v>
      </c>
      <c r="C170">
        <v>15</v>
      </c>
      <c r="D170">
        <v>4.4000000000000004</v>
      </c>
      <c r="E170">
        <v>5</v>
      </c>
      <c r="F170">
        <v>1298</v>
      </c>
    </row>
    <row r="171" spans="1:6" x14ac:dyDescent="0.3">
      <c r="A171" t="s">
        <v>20</v>
      </c>
      <c r="B171" t="s">
        <v>208</v>
      </c>
      <c r="C171">
        <v>10.5</v>
      </c>
      <c r="D171">
        <v>4.8</v>
      </c>
      <c r="E171">
        <v>5</v>
      </c>
      <c r="F171">
        <v>345</v>
      </c>
    </row>
    <row r="172" spans="1:6" x14ac:dyDescent="0.3">
      <c r="A172" t="s">
        <v>20</v>
      </c>
      <c r="B172" t="s">
        <v>209</v>
      </c>
      <c r="C172">
        <v>12</v>
      </c>
      <c r="D172">
        <v>4.3</v>
      </c>
      <c r="E172">
        <v>5</v>
      </c>
      <c r="F172">
        <v>123</v>
      </c>
    </row>
    <row r="173" spans="1:6" x14ac:dyDescent="0.3">
      <c r="A173" t="s">
        <v>21</v>
      </c>
      <c r="B173" t="s">
        <v>210</v>
      </c>
      <c r="C173">
        <v>14</v>
      </c>
      <c r="D173">
        <v>4.7</v>
      </c>
      <c r="E173">
        <v>5</v>
      </c>
      <c r="F173">
        <v>2278</v>
      </c>
    </row>
    <row r="174" spans="1:6" x14ac:dyDescent="0.3">
      <c r="A174" t="s">
        <v>21</v>
      </c>
      <c r="B174" t="s">
        <v>211</v>
      </c>
      <c r="C174">
        <v>17</v>
      </c>
      <c r="D174">
        <v>4.7</v>
      </c>
      <c r="E174">
        <v>5</v>
      </c>
      <c r="F174">
        <v>3765</v>
      </c>
    </row>
    <row r="175" spans="1:6" x14ac:dyDescent="0.3">
      <c r="A175" t="s">
        <v>21</v>
      </c>
      <c r="B175" t="s">
        <v>212</v>
      </c>
      <c r="C175">
        <v>14</v>
      </c>
      <c r="D175">
        <v>4.7</v>
      </c>
      <c r="E175">
        <v>5</v>
      </c>
      <c r="F175">
        <v>2567</v>
      </c>
    </row>
    <row r="176" spans="1:6" x14ac:dyDescent="0.3">
      <c r="A176" t="s">
        <v>21</v>
      </c>
      <c r="B176" t="s">
        <v>213</v>
      </c>
      <c r="C176">
        <v>12</v>
      </c>
      <c r="D176">
        <v>4.5</v>
      </c>
      <c r="E176">
        <v>5</v>
      </c>
      <c r="F176">
        <v>2000</v>
      </c>
    </row>
    <row r="177" spans="1:6" x14ac:dyDescent="0.3">
      <c r="A177" t="s">
        <v>21</v>
      </c>
      <c r="B177" t="s">
        <v>214</v>
      </c>
      <c r="C177">
        <v>13</v>
      </c>
      <c r="D177">
        <v>4.7</v>
      </c>
      <c r="E177">
        <v>5</v>
      </c>
      <c r="F177">
        <v>1123</v>
      </c>
    </row>
    <row r="178" spans="1:6" x14ac:dyDescent="0.3">
      <c r="A178" t="s">
        <v>21</v>
      </c>
      <c r="B178" t="s">
        <v>215</v>
      </c>
      <c r="C178">
        <v>10</v>
      </c>
      <c r="D178">
        <v>4.7</v>
      </c>
      <c r="E178">
        <v>5</v>
      </c>
      <c r="F178">
        <v>2234</v>
      </c>
    </row>
    <row r="179" spans="1:6" x14ac:dyDescent="0.3">
      <c r="A179" t="s">
        <v>21</v>
      </c>
      <c r="B179" t="s">
        <v>216</v>
      </c>
      <c r="C179">
        <v>11</v>
      </c>
      <c r="D179">
        <v>4.7</v>
      </c>
      <c r="E179">
        <v>5</v>
      </c>
      <c r="F179">
        <v>754</v>
      </c>
    </row>
    <row r="180" spans="1:6" x14ac:dyDescent="0.3">
      <c r="A180" t="s">
        <v>21</v>
      </c>
      <c r="B180" t="s">
        <v>217</v>
      </c>
      <c r="C180">
        <v>34</v>
      </c>
      <c r="D180">
        <v>4.8</v>
      </c>
      <c r="E180">
        <v>5</v>
      </c>
      <c r="F180">
        <v>122</v>
      </c>
    </row>
    <row r="181" spans="1:6" x14ac:dyDescent="0.3">
      <c r="A181" t="s">
        <v>21</v>
      </c>
      <c r="B181" t="s">
        <v>218</v>
      </c>
      <c r="C181">
        <v>12</v>
      </c>
      <c r="D181">
        <v>4.7</v>
      </c>
      <c r="E181">
        <v>5</v>
      </c>
      <c r="F181">
        <v>548</v>
      </c>
    </row>
    <row r="182" spans="1:6" x14ac:dyDescent="0.3">
      <c r="A182" t="s">
        <v>21</v>
      </c>
      <c r="B182" t="s">
        <v>219</v>
      </c>
      <c r="C182">
        <v>10</v>
      </c>
      <c r="D182">
        <v>4.8</v>
      </c>
      <c r="E182">
        <v>5</v>
      </c>
      <c r="F182">
        <v>446</v>
      </c>
    </row>
    <row r="183" spans="1:6" x14ac:dyDescent="0.3">
      <c r="A183" t="s">
        <v>21</v>
      </c>
      <c r="B183" t="s">
        <v>220</v>
      </c>
      <c r="C183">
        <v>10</v>
      </c>
      <c r="D183">
        <v>4.8</v>
      </c>
      <c r="E183">
        <v>5</v>
      </c>
      <c r="F183">
        <v>600</v>
      </c>
    </row>
    <row r="184" spans="1:6" x14ac:dyDescent="0.3">
      <c r="A184" t="s">
        <v>21</v>
      </c>
      <c r="B184" t="s">
        <v>221</v>
      </c>
      <c r="C184">
        <v>12</v>
      </c>
      <c r="D184">
        <v>4.8</v>
      </c>
      <c r="E184">
        <v>5</v>
      </c>
      <c r="F184">
        <v>524</v>
      </c>
    </row>
    <row r="185" spans="1:6" x14ac:dyDescent="0.3">
      <c r="A185" t="s">
        <v>21</v>
      </c>
      <c r="B185" t="s">
        <v>222</v>
      </c>
      <c r="C185">
        <v>40</v>
      </c>
      <c r="D185">
        <v>4.8</v>
      </c>
      <c r="E185">
        <v>5</v>
      </c>
      <c r="F185">
        <v>265</v>
      </c>
    </row>
    <row r="186" spans="1:6" x14ac:dyDescent="0.3">
      <c r="A186" t="s">
        <v>21</v>
      </c>
      <c r="B186" t="s">
        <v>223</v>
      </c>
      <c r="C186">
        <v>35</v>
      </c>
      <c r="D186">
        <v>4.8</v>
      </c>
      <c r="E186">
        <v>5</v>
      </c>
      <c r="F186">
        <v>252</v>
      </c>
    </row>
    <row r="187" spans="1:6" x14ac:dyDescent="0.3">
      <c r="A187" t="s">
        <v>21</v>
      </c>
      <c r="B187" t="s">
        <v>224</v>
      </c>
      <c r="C187">
        <v>43</v>
      </c>
      <c r="D187">
        <v>4.7</v>
      </c>
      <c r="E187">
        <v>5</v>
      </c>
      <c r="F187">
        <v>444</v>
      </c>
    </row>
    <row r="188" spans="1:6" x14ac:dyDescent="0.3">
      <c r="A188" t="s">
        <v>21</v>
      </c>
      <c r="B188" t="s">
        <v>225</v>
      </c>
      <c r="C188">
        <v>34</v>
      </c>
      <c r="D188">
        <v>4.7</v>
      </c>
      <c r="E188">
        <v>5</v>
      </c>
      <c r="F188">
        <v>114</v>
      </c>
    </row>
    <row r="189" spans="1:6" x14ac:dyDescent="0.3">
      <c r="A189" t="s">
        <v>22</v>
      </c>
      <c r="B189" t="s">
        <v>226</v>
      </c>
      <c r="C189">
        <v>18</v>
      </c>
      <c r="D189">
        <v>4.5</v>
      </c>
      <c r="E189">
        <v>4</v>
      </c>
      <c r="F189">
        <v>30147</v>
      </c>
    </row>
    <row r="190" spans="1:6" x14ac:dyDescent="0.3">
      <c r="A190" t="s">
        <v>22</v>
      </c>
      <c r="B190" t="s">
        <v>227</v>
      </c>
      <c r="C190">
        <v>13</v>
      </c>
      <c r="D190">
        <v>2.7</v>
      </c>
      <c r="E190">
        <v>5</v>
      </c>
      <c r="F190">
        <v>450</v>
      </c>
    </row>
    <row r="191" spans="1:6" x14ac:dyDescent="0.3">
      <c r="A191" t="s">
        <v>23</v>
      </c>
      <c r="B191" t="s">
        <v>228</v>
      </c>
      <c r="C191">
        <v>20.5</v>
      </c>
      <c r="D191">
        <v>3.9</v>
      </c>
      <c r="E191">
        <v>5</v>
      </c>
      <c r="F191">
        <v>3100</v>
      </c>
    </row>
    <row r="192" spans="1:6" x14ac:dyDescent="0.3">
      <c r="A192" t="s">
        <v>23</v>
      </c>
      <c r="B192" t="s">
        <v>229</v>
      </c>
      <c r="C192">
        <v>18</v>
      </c>
      <c r="D192">
        <v>4.7</v>
      </c>
      <c r="E192">
        <v>5</v>
      </c>
      <c r="F192">
        <v>1300</v>
      </c>
    </row>
    <row r="193" spans="1:6" x14ac:dyDescent="0.3">
      <c r="A193" t="s">
        <v>23</v>
      </c>
      <c r="B193" t="s">
        <v>230</v>
      </c>
      <c r="C193">
        <v>18</v>
      </c>
      <c r="D193">
        <v>4.8</v>
      </c>
      <c r="E193">
        <v>5</v>
      </c>
      <c r="F193">
        <v>1478</v>
      </c>
    </row>
    <row r="194" spans="1:6" x14ac:dyDescent="0.3">
      <c r="A194" t="s">
        <v>23</v>
      </c>
      <c r="B194" t="s">
        <v>231</v>
      </c>
      <c r="C194">
        <v>19</v>
      </c>
      <c r="D194">
        <v>4.4000000000000004</v>
      </c>
      <c r="E194">
        <v>5</v>
      </c>
      <c r="F194">
        <v>542</v>
      </c>
    </row>
    <row r="195" spans="1:6" x14ac:dyDescent="0.3">
      <c r="A195" t="s">
        <v>24</v>
      </c>
      <c r="B195" t="s">
        <v>232</v>
      </c>
      <c r="C195">
        <v>12</v>
      </c>
      <c r="D195">
        <v>4.9000000000000004</v>
      </c>
      <c r="E195">
        <v>5</v>
      </c>
      <c r="F195">
        <v>2200</v>
      </c>
    </row>
    <row r="196" spans="1:6" x14ac:dyDescent="0.3">
      <c r="A196" t="s">
        <v>24</v>
      </c>
      <c r="B196" t="s">
        <v>233</v>
      </c>
      <c r="C196">
        <v>11</v>
      </c>
      <c r="D196">
        <v>4.5999999999999996</v>
      </c>
      <c r="E196">
        <v>5</v>
      </c>
      <c r="F196">
        <v>1523</v>
      </c>
    </row>
    <row r="197" spans="1:6" x14ac:dyDescent="0.3">
      <c r="A197" t="s">
        <v>24</v>
      </c>
      <c r="B197" t="s">
        <v>234</v>
      </c>
      <c r="C197">
        <v>12</v>
      </c>
      <c r="D197">
        <v>4.3</v>
      </c>
      <c r="E197">
        <v>5</v>
      </c>
      <c r="F197">
        <v>512</v>
      </c>
    </row>
    <row r="198" spans="1:6" x14ac:dyDescent="0.3">
      <c r="A198" t="s">
        <v>24</v>
      </c>
      <c r="B198" t="s">
        <v>235</v>
      </c>
      <c r="C198">
        <v>13.5</v>
      </c>
      <c r="D198">
        <v>4.5999999999999996</v>
      </c>
      <c r="E198">
        <v>5</v>
      </c>
      <c r="F198">
        <v>410</v>
      </c>
    </row>
    <row r="199" spans="1:6" x14ac:dyDescent="0.3">
      <c r="A199" t="s">
        <v>25</v>
      </c>
      <c r="B199" t="s">
        <v>236</v>
      </c>
      <c r="C199">
        <v>9</v>
      </c>
      <c r="D199">
        <v>4.7</v>
      </c>
      <c r="E199">
        <v>5</v>
      </c>
      <c r="F199">
        <v>156</v>
      </c>
    </row>
    <row r="200" spans="1:6" x14ac:dyDescent="0.3">
      <c r="A200" t="s">
        <v>25</v>
      </c>
      <c r="B200" t="s">
        <v>237</v>
      </c>
      <c r="C200">
        <v>24.5</v>
      </c>
      <c r="D200">
        <v>4.5999999999999996</v>
      </c>
      <c r="E200">
        <v>5</v>
      </c>
      <c r="F200">
        <v>454</v>
      </c>
    </row>
    <row r="201" spans="1:6" x14ac:dyDescent="0.3">
      <c r="A201" t="s">
        <v>25</v>
      </c>
      <c r="B201" t="s">
        <v>238</v>
      </c>
      <c r="C201">
        <v>10.5</v>
      </c>
      <c r="D201">
        <v>4.7</v>
      </c>
      <c r="E201">
        <v>5</v>
      </c>
      <c r="F201">
        <v>259</v>
      </c>
    </row>
    <row r="202" spans="1:6" x14ac:dyDescent="0.3">
      <c r="A202" t="s">
        <v>25</v>
      </c>
      <c r="B202" t="s">
        <v>239</v>
      </c>
      <c r="C202">
        <v>12</v>
      </c>
      <c r="D202">
        <v>4.9000000000000004</v>
      </c>
      <c r="E202">
        <v>5</v>
      </c>
      <c r="F202">
        <v>137</v>
      </c>
    </row>
    <row r="203" spans="1:6" x14ac:dyDescent="0.3">
      <c r="A203" t="s">
        <v>25</v>
      </c>
      <c r="B203" t="s">
        <v>240</v>
      </c>
      <c r="C203">
        <v>14</v>
      </c>
      <c r="D203">
        <v>4.8</v>
      </c>
      <c r="E203">
        <v>5</v>
      </c>
      <c r="F203">
        <v>137</v>
      </c>
    </row>
    <row r="204" spans="1:6" x14ac:dyDescent="0.3">
      <c r="A204" t="s">
        <v>25</v>
      </c>
      <c r="B204" t="s">
        <v>241</v>
      </c>
      <c r="C204">
        <v>24.5</v>
      </c>
      <c r="D204">
        <v>4.5</v>
      </c>
      <c r="E204">
        <v>5</v>
      </c>
      <c r="F204">
        <v>454</v>
      </c>
    </row>
    <row r="205" spans="1:6" x14ac:dyDescent="0.3">
      <c r="A205" t="s">
        <v>25</v>
      </c>
      <c r="B205" t="s">
        <v>242</v>
      </c>
      <c r="C205">
        <v>30</v>
      </c>
      <c r="D205">
        <v>4.7</v>
      </c>
      <c r="E205">
        <v>5</v>
      </c>
      <c r="F205">
        <v>200</v>
      </c>
    </row>
    <row r="206" spans="1:6" x14ac:dyDescent="0.3">
      <c r="A206" t="s">
        <v>26</v>
      </c>
      <c r="B206" t="s">
        <v>243</v>
      </c>
      <c r="C206">
        <v>22</v>
      </c>
      <c r="D206">
        <v>4.5999999999999996</v>
      </c>
      <c r="E206">
        <v>5</v>
      </c>
      <c r="F206">
        <v>1400</v>
      </c>
    </row>
    <row r="207" spans="1:6" x14ac:dyDescent="0.3">
      <c r="A207" t="s">
        <v>26</v>
      </c>
      <c r="B207" t="s">
        <v>244</v>
      </c>
      <c r="C207">
        <v>6</v>
      </c>
      <c r="D207">
        <v>4.9000000000000004</v>
      </c>
      <c r="E207">
        <v>5</v>
      </c>
      <c r="F207">
        <v>1473</v>
      </c>
    </row>
    <row r="208" spans="1:6" x14ac:dyDescent="0.3">
      <c r="A208" t="s">
        <v>26</v>
      </c>
      <c r="B208" t="s">
        <v>245</v>
      </c>
      <c r="C208">
        <v>17</v>
      </c>
      <c r="D208">
        <v>4.4000000000000004</v>
      </c>
      <c r="E208">
        <v>5</v>
      </c>
      <c r="F208">
        <v>2417</v>
      </c>
    </row>
    <row r="209" spans="1:6" x14ac:dyDescent="0.3">
      <c r="A209" t="s">
        <v>26</v>
      </c>
      <c r="B209" t="s">
        <v>246</v>
      </c>
      <c r="C209">
        <v>16</v>
      </c>
      <c r="D209">
        <v>4.7</v>
      </c>
      <c r="E209">
        <v>5</v>
      </c>
      <c r="F209">
        <v>1222</v>
      </c>
    </row>
    <row r="210" spans="1:6" x14ac:dyDescent="0.3">
      <c r="A210" t="s">
        <v>26</v>
      </c>
      <c r="B210" t="s">
        <v>247</v>
      </c>
      <c r="C210">
        <v>18</v>
      </c>
      <c r="D210">
        <v>4.5999999999999996</v>
      </c>
      <c r="E210">
        <v>5</v>
      </c>
      <c r="F210">
        <v>2000</v>
      </c>
    </row>
    <row r="211" spans="1:6" x14ac:dyDescent="0.3">
      <c r="A211" t="s">
        <v>27</v>
      </c>
      <c r="B211" t="s">
        <v>248</v>
      </c>
      <c r="C211">
        <v>6.5</v>
      </c>
      <c r="D211">
        <v>4.8</v>
      </c>
      <c r="E211">
        <v>5</v>
      </c>
      <c r="F211">
        <v>60</v>
      </c>
    </row>
    <row r="212" spans="1:6" x14ac:dyDescent="0.3">
      <c r="A212" t="s">
        <v>27</v>
      </c>
      <c r="B212" t="s">
        <v>249</v>
      </c>
      <c r="C212">
        <v>7</v>
      </c>
      <c r="D212">
        <v>4.4000000000000004</v>
      </c>
      <c r="E212">
        <v>5</v>
      </c>
      <c r="F212">
        <v>65</v>
      </c>
    </row>
    <row r="213" spans="1:6" x14ac:dyDescent="0.3">
      <c r="A213" t="s">
        <v>27</v>
      </c>
      <c r="B213" t="s">
        <v>250</v>
      </c>
      <c r="C213">
        <v>8</v>
      </c>
      <c r="D213">
        <v>4.7</v>
      </c>
      <c r="E213">
        <v>5</v>
      </c>
      <c r="F213">
        <v>62</v>
      </c>
    </row>
    <row r="214" spans="1:6" x14ac:dyDescent="0.3">
      <c r="A214" t="s">
        <v>28</v>
      </c>
      <c r="B214" t="s">
        <v>251</v>
      </c>
      <c r="C214">
        <v>15.5</v>
      </c>
      <c r="D214">
        <v>4.7</v>
      </c>
      <c r="E214">
        <v>5</v>
      </c>
      <c r="F214">
        <v>74</v>
      </c>
    </row>
    <row r="215" spans="1:6" x14ac:dyDescent="0.3">
      <c r="A215" t="s">
        <v>29</v>
      </c>
      <c r="B215" t="s">
        <v>252</v>
      </c>
      <c r="C215">
        <v>6.5</v>
      </c>
      <c r="D215">
        <v>4.8</v>
      </c>
      <c r="E215">
        <v>5</v>
      </c>
      <c r="F215">
        <v>16</v>
      </c>
    </row>
    <row r="216" spans="1:6" x14ac:dyDescent="0.3">
      <c r="A216" t="s">
        <v>29</v>
      </c>
      <c r="B216" t="s">
        <v>253</v>
      </c>
      <c r="C216">
        <v>6</v>
      </c>
      <c r="D216">
        <v>4.8</v>
      </c>
      <c r="E216">
        <v>5</v>
      </c>
      <c r="F216">
        <v>13</v>
      </c>
    </row>
    <row r="217" spans="1:6" x14ac:dyDescent="0.3">
      <c r="A217" t="s">
        <v>29</v>
      </c>
      <c r="B217" t="s">
        <v>254</v>
      </c>
      <c r="C217">
        <v>8</v>
      </c>
      <c r="D217">
        <v>4.9000000000000004</v>
      </c>
      <c r="E217">
        <v>5</v>
      </c>
      <c r="F217">
        <v>10</v>
      </c>
    </row>
    <row r="218" spans="1:6" x14ac:dyDescent="0.3">
      <c r="A218" t="s">
        <v>30</v>
      </c>
      <c r="B218" t="s">
        <v>255</v>
      </c>
      <c r="C218">
        <v>18</v>
      </c>
      <c r="D218">
        <v>4.5</v>
      </c>
      <c r="E218">
        <v>5</v>
      </c>
      <c r="F218">
        <v>284</v>
      </c>
    </row>
    <row r="219" spans="1:6" x14ac:dyDescent="0.3">
      <c r="A219" t="s">
        <v>30</v>
      </c>
      <c r="B219" t="s">
        <v>256</v>
      </c>
      <c r="C219">
        <v>16.5</v>
      </c>
      <c r="D219">
        <v>4.7</v>
      </c>
      <c r="E219">
        <v>5</v>
      </c>
      <c r="F219">
        <v>56</v>
      </c>
    </row>
    <row r="220" spans="1:6" x14ac:dyDescent="0.3">
      <c r="A220" t="s">
        <v>30</v>
      </c>
      <c r="B220" t="s">
        <v>257</v>
      </c>
      <c r="C220">
        <v>17.5</v>
      </c>
      <c r="D220">
        <v>4.4000000000000004</v>
      </c>
      <c r="E220">
        <v>5</v>
      </c>
      <c r="F220">
        <v>200</v>
      </c>
    </row>
    <row r="221" spans="1:6" x14ac:dyDescent="0.3">
      <c r="A221" t="s">
        <v>30</v>
      </c>
      <c r="B221" t="s">
        <v>258</v>
      </c>
      <c r="C221">
        <v>43</v>
      </c>
      <c r="D221">
        <v>4.7</v>
      </c>
      <c r="E221">
        <v>5</v>
      </c>
      <c r="F221">
        <v>123</v>
      </c>
    </row>
    <row r="222" spans="1:6" x14ac:dyDescent="0.3">
      <c r="A222" t="s">
        <v>31</v>
      </c>
      <c r="B222" t="s">
        <v>259</v>
      </c>
      <c r="C222">
        <v>7</v>
      </c>
      <c r="D222">
        <v>4.5999999999999996</v>
      </c>
      <c r="E222">
        <v>5</v>
      </c>
      <c r="F222">
        <v>16</v>
      </c>
    </row>
    <row r="223" spans="1:6" x14ac:dyDescent="0.3">
      <c r="A223" t="s">
        <v>31</v>
      </c>
      <c r="B223" t="s">
        <v>260</v>
      </c>
      <c r="C223">
        <v>8</v>
      </c>
      <c r="D223">
        <v>4.5999999999999996</v>
      </c>
      <c r="E223">
        <v>5</v>
      </c>
      <c r="F223">
        <v>10</v>
      </c>
    </row>
    <row r="224" spans="1:6" x14ac:dyDescent="0.3">
      <c r="A224" t="s">
        <v>31</v>
      </c>
      <c r="B224" t="s">
        <v>261</v>
      </c>
      <c r="C224">
        <v>8</v>
      </c>
      <c r="D224">
        <v>4.5999999999999996</v>
      </c>
      <c r="E224">
        <v>5</v>
      </c>
      <c r="F224">
        <v>20</v>
      </c>
    </row>
    <row r="225" spans="1:6" x14ac:dyDescent="0.3">
      <c r="A225" t="s">
        <v>31</v>
      </c>
      <c r="B225" t="s">
        <v>262</v>
      </c>
      <c r="C225">
        <v>7</v>
      </c>
      <c r="D225">
        <v>4.8</v>
      </c>
      <c r="E225">
        <v>5</v>
      </c>
      <c r="F225">
        <v>12</v>
      </c>
    </row>
    <row r="226" spans="1:6" x14ac:dyDescent="0.3">
      <c r="A226" t="s">
        <v>31</v>
      </c>
      <c r="B226" t="s">
        <v>263</v>
      </c>
      <c r="C226">
        <v>8</v>
      </c>
      <c r="D226">
        <v>4.8</v>
      </c>
      <c r="E226">
        <v>5</v>
      </c>
      <c r="F226">
        <v>30</v>
      </c>
    </row>
    <row r="227" spans="1:6" x14ac:dyDescent="0.3">
      <c r="A227" t="s">
        <v>31</v>
      </c>
      <c r="B227" t="s">
        <v>264</v>
      </c>
      <c r="C227">
        <v>8</v>
      </c>
      <c r="D227">
        <v>4.5999999999999996</v>
      </c>
      <c r="E227">
        <v>5</v>
      </c>
      <c r="F227">
        <v>24</v>
      </c>
    </row>
    <row r="228" spans="1:6" x14ac:dyDescent="0.3">
      <c r="A228" t="s">
        <v>32</v>
      </c>
      <c r="B228" t="s">
        <v>265</v>
      </c>
      <c r="C228">
        <v>8</v>
      </c>
      <c r="D228">
        <v>4.5</v>
      </c>
      <c r="E228">
        <v>3</v>
      </c>
      <c r="F228">
        <v>891</v>
      </c>
    </row>
    <row r="229" spans="1:6" x14ac:dyDescent="0.3">
      <c r="A229" t="s">
        <v>32</v>
      </c>
      <c r="B229" t="s">
        <v>266</v>
      </c>
      <c r="C229">
        <v>7</v>
      </c>
      <c r="D229">
        <v>4.7</v>
      </c>
      <c r="E229">
        <v>3</v>
      </c>
      <c r="F229">
        <v>10</v>
      </c>
    </row>
    <row r="230" spans="1:6" x14ac:dyDescent="0.3">
      <c r="A230" t="s">
        <v>33</v>
      </c>
      <c r="B230" t="s">
        <v>267</v>
      </c>
      <c r="C230">
        <v>11</v>
      </c>
      <c r="D230">
        <v>4.8</v>
      </c>
      <c r="E230">
        <v>4</v>
      </c>
      <c r="F230">
        <v>144</v>
      </c>
    </row>
    <row r="231" spans="1:6" x14ac:dyDescent="0.3">
      <c r="A231" t="s">
        <v>33</v>
      </c>
      <c r="B231" t="s">
        <v>268</v>
      </c>
      <c r="C231">
        <v>10</v>
      </c>
      <c r="D231">
        <v>4.5999999999999996</v>
      </c>
      <c r="E231">
        <v>4</v>
      </c>
      <c r="F231">
        <v>2147</v>
      </c>
    </row>
    <row r="232" spans="1:6" x14ac:dyDescent="0.3">
      <c r="A232" t="s">
        <v>34</v>
      </c>
      <c r="B232" t="s">
        <v>269</v>
      </c>
      <c r="C232">
        <v>12</v>
      </c>
      <c r="D232">
        <v>4.7</v>
      </c>
      <c r="E232">
        <v>5</v>
      </c>
      <c r="F232">
        <v>74</v>
      </c>
    </row>
    <row r="233" spans="1:6" x14ac:dyDescent="0.3">
      <c r="A233" t="s">
        <v>34</v>
      </c>
      <c r="B233" t="s">
        <v>270</v>
      </c>
      <c r="C233">
        <v>8</v>
      </c>
      <c r="D233">
        <v>4.9000000000000004</v>
      </c>
      <c r="E233">
        <v>5</v>
      </c>
      <c r="F233">
        <v>26</v>
      </c>
    </row>
    <row r="234" spans="1:6" x14ac:dyDescent="0.3">
      <c r="A234" t="s">
        <v>34</v>
      </c>
      <c r="B234" t="s">
        <v>271</v>
      </c>
      <c r="C234">
        <v>9.5</v>
      </c>
      <c r="D234">
        <v>4.5</v>
      </c>
      <c r="E234">
        <v>5</v>
      </c>
      <c r="F234">
        <v>96</v>
      </c>
    </row>
    <row r="235" spans="1:6" x14ac:dyDescent="0.3">
      <c r="A235" t="s">
        <v>34</v>
      </c>
      <c r="B235" t="s">
        <v>272</v>
      </c>
      <c r="C235">
        <v>9.5</v>
      </c>
      <c r="D235">
        <v>4.4000000000000004</v>
      </c>
      <c r="E235">
        <v>5</v>
      </c>
      <c r="F235">
        <v>111</v>
      </c>
    </row>
    <row r="236" spans="1:6" x14ac:dyDescent="0.3">
      <c r="A236" t="s">
        <v>34</v>
      </c>
      <c r="B236" t="s">
        <v>273</v>
      </c>
      <c r="C236">
        <v>12.5</v>
      </c>
      <c r="D236">
        <v>4.4000000000000004</v>
      </c>
      <c r="E236">
        <v>5</v>
      </c>
      <c r="F236">
        <v>35</v>
      </c>
    </row>
    <row r="237" spans="1:6" x14ac:dyDescent="0.3">
      <c r="A237" t="s">
        <v>34</v>
      </c>
      <c r="B237" t="s">
        <v>274</v>
      </c>
      <c r="C237">
        <v>12</v>
      </c>
      <c r="D237">
        <v>4.5</v>
      </c>
      <c r="E237">
        <v>5</v>
      </c>
      <c r="F237">
        <v>96</v>
      </c>
    </row>
    <row r="238" spans="1:6" x14ac:dyDescent="0.3">
      <c r="A238" t="s">
        <v>35</v>
      </c>
      <c r="B238" t="s">
        <v>275</v>
      </c>
      <c r="C238">
        <v>5</v>
      </c>
      <c r="D238">
        <v>4.5</v>
      </c>
      <c r="E238">
        <v>5</v>
      </c>
      <c r="F238">
        <v>52</v>
      </c>
    </row>
    <row r="239" spans="1:6" x14ac:dyDescent="0.3">
      <c r="A239" t="s">
        <v>35</v>
      </c>
      <c r="B239" t="s">
        <v>276</v>
      </c>
      <c r="C239">
        <v>8</v>
      </c>
      <c r="D239">
        <v>4.5</v>
      </c>
      <c r="E239">
        <v>5</v>
      </c>
      <c r="F239">
        <v>114</v>
      </c>
    </row>
    <row r="240" spans="1:6" x14ac:dyDescent="0.3">
      <c r="A240" t="s">
        <v>35</v>
      </c>
      <c r="B240" t="s">
        <v>277</v>
      </c>
      <c r="C240">
        <v>7</v>
      </c>
      <c r="D240">
        <v>4.5</v>
      </c>
      <c r="E240">
        <v>5</v>
      </c>
      <c r="F240">
        <v>28</v>
      </c>
    </row>
    <row r="241" spans="1:6" x14ac:dyDescent="0.3">
      <c r="A241" t="s">
        <v>35</v>
      </c>
      <c r="B241" t="s">
        <v>278</v>
      </c>
      <c r="C241">
        <v>10</v>
      </c>
      <c r="D241">
        <v>4.7</v>
      </c>
      <c r="E241">
        <v>5</v>
      </c>
      <c r="F241">
        <v>11</v>
      </c>
    </row>
    <row r="242" spans="1:6" x14ac:dyDescent="0.3">
      <c r="A242" t="s">
        <v>35</v>
      </c>
      <c r="B242" t="s">
        <v>279</v>
      </c>
      <c r="C242">
        <v>9</v>
      </c>
      <c r="D242">
        <v>4.5999999999999996</v>
      </c>
      <c r="E242">
        <v>5</v>
      </c>
      <c r="F242">
        <v>44</v>
      </c>
    </row>
    <row r="243" spans="1:6" x14ac:dyDescent="0.3">
      <c r="A243" t="s">
        <v>36</v>
      </c>
      <c r="B243" t="s">
        <v>280</v>
      </c>
      <c r="C243">
        <v>7</v>
      </c>
      <c r="D243">
        <v>4.9000000000000004</v>
      </c>
      <c r="E243">
        <v>5</v>
      </c>
      <c r="F243">
        <v>50</v>
      </c>
    </row>
    <row r="244" spans="1:6" x14ac:dyDescent="0.3">
      <c r="A244" t="s">
        <v>37</v>
      </c>
      <c r="B244" t="s">
        <v>281</v>
      </c>
      <c r="C244">
        <v>5</v>
      </c>
      <c r="D244">
        <v>4.8</v>
      </c>
      <c r="E244">
        <v>5</v>
      </c>
      <c r="F244">
        <v>20</v>
      </c>
    </row>
    <row r="245" spans="1:6" x14ac:dyDescent="0.3">
      <c r="A245" t="s">
        <v>37</v>
      </c>
      <c r="B245" t="s">
        <v>282</v>
      </c>
      <c r="C245">
        <v>8</v>
      </c>
      <c r="D245">
        <v>4.8</v>
      </c>
      <c r="E245">
        <v>5</v>
      </c>
      <c r="F245">
        <v>18</v>
      </c>
    </row>
    <row r="246" spans="1:6" x14ac:dyDescent="0.3">
      <c r="A246" t="s">
        <v>37</v>
      </c>
      <c r="B246" t="s">
        <v>283</v>
      </c>
      <c r="C246">
        <v>7</v>
      </c>
      <c r="D246">
        <v>4.5</v>
      </c>
      <c r="E246">
        <v>5</v>
      </c>
      <c r="F246">
        <v>12</v>
      </c>
    </row>
    <row r="247" spans="1:6" x14ac:dyDescent="0.3">
      <c r="A247" t="s">
        <v>38</v>
      </c>
      <c r="B247" t="s">
        <v>284</v>
      </c>
      <c r="C247">
        <v>7</v>
      </c>
      <c r="D247">
        <v>4.5</v>
      </c>
      <c r="E247">
        <v>5</v>
      </c>
      <c r="F247">
        <v>250</v>
      </c>
    </row>
    <row r="248" spans="1:6" x14ac:dyDescent="0.3">
      <c r="A248" t="s">
        <v>38</v>
      </c>
      <c r="B248" t="s">
        <v>285</v>
      </c>
      <c r="C248">
        <v>5</v>
      </c>
      <c r="D248">
        <v>4.5</v>
      </c>
      <c r="E248">
        <v>5</v>
      </c>
      <c r="F248">
        <v>40</v>
      </c>
    </row>
    <row r="249" spans="1:6" x14ac:dyDescent="0.3">
      <c r="A249" t="s">
        <v>38</v>
      </c>
      <c r="B249" t="s">
        <v>286</v>
      </c>
      <c r="C249">
        <v>6</v>
      </c>
      <c r="D249">
        <v>4.8</v>
      </c>
      <c r="E249">
        <v>5</v>
      </c>
      <c r="F249">
        <v>10</v>
      </c>
    </row>
  </sheetData>
  <conditionalFormatting sqref="D1:D1048576">
    <cfRule type="dataBar" priority="2">
      <dataBar>
        <cfvo type="min"/>
        <cfvo type="max"/>
        <color rgb="FF63C384"/>
      </dataBar>
      <extLst>
        <ext xmlns:x14="http://schemas.microsoft.com/office/spreadsheetml/2009/9/main" uri="{B025F937-C7B1-47D3-B67F-A62EFF666E3E}">
          <x14:id>{A52752C1-73D2-40FF-8CB8-B80076C50AB0}</x14:id>
        </ext>
      </extLst>
    </cfRule>
  </conditionalFormatting>
  <conditionalFormatting sqref="E1:E1048576">
    <cfRule type="colorScale" priority="1">
      <colorScale>
        <cfvo type="min"/>
        <cfvo type="percentile" val="50"/>
        <cfvo type="max"/>
        <color rgb="FFF8696B"/>
        <color rgb="FFFCFCFF"/>
        <color rgb="FF5A8AC6"/>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52752C1-73D2-40FF-8CB8-B80076C50AB0}">
            <x14:dataBar minLength="0" maxLength="100" gradient="0">
              <x14:cfvo type="autoMin"/>
              <x14:cfvo type="autoMax"/>
              <x14:negativeFillColor rgb="FFFF0000"/>
              <x14:axisColor rgb="FF000000"/>
            </x14:dataBar>
          </x14:cfRule>
          <xm:sqref>D1:D1048576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944B9-9864-4FB8-873C-976ABF2635EB}">
  <sheetPr codeName="Sheet7"/>
  <dimension ref="A1:W1"/>
  <sheetViews>
    <sheetView zoomScaleNormal="100" workbookViewId="0">
      <selection activeCell="K82" sqref="K82"/>
    </sheetView>
  </sheetViews>
  <sheetFormatPr defaultRowHeight="14.4" x14ac:dyDescent="0.3"/>
  <cols>
    <col min="1" max="16384" width="8.88671875" style="3"/>
  </cols>
  <sheetData>
    <row r="1" spans="1:23" ht="23.4" x14ac:dyDescent="0.45">
      <c r="A1" s="4" t="s">
        <v>290</v>
      </c>
      <c r="B1" s="4"/>
      <c r="C1" s="4"/>
      <c r="D1" s="4"/>
      <c r="E1" s="4"/>
      <c r="F1" s="4"/>
      <c r="G1" s="4"/>
      <c r="H1" s="4"/>
      <c r="I1" s="4"/>
      <c r="J1" s="4"/>
      <c r="K1" s="4"/>
      <c r="L1" s="4"/>
      <c r="M1" s="4"/>
      <c r="N1" s="4"/>
      <c r="O1" s="4"/>
      <c r="P1" s="4"/>
      <c r="Q1" s="4"/>
      <c r="R1" s="4"/>
      <c r="S1" s="4"/>
      <c r="T1" s="4"/>
      <c r="U1" s="4"/>
      <c r="V1" s="4"/>
      <c r="W1" s="4"/>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top 10 brands</vt:lpstr>
      <vt:lpstr>milage</vt:lpstr>
      <vt:lpstr>best rated car</vt:lpstr>
      <vt:lpstr>best saftey rating</vt:lpstr>
      <vt:lpstr>best saler brand</vt:lpstr>
      <vt:lpstr>Processed_Data</vt:lpstr>
      <vt:lpstr>CAR 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amol</dc:creator>
  <cp:lastModifiedBy>AMOL SHELAR</cp:lastModifiedBy>
  <dcterms:created xsi:type="dcterms:W3CDTF">2025-07-16T08:44:41Z</dcterms:created>
  <dcterms:modified xsi:type="dcterms:W3CDTF">2025-07-17T09:49:25Z</dcterms:modified>
</cp:coreProperties>
</file>